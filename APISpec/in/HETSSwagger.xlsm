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5" windowHeight="6657"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defs.csv!$A$1:$Y$340</definedName>
    <definedName name="_xlnm._FilterDatabase" localSheetId="1" hidden="1">paths.csv!$A$1:$G$72</definedName>
  </definedNames>
  <calcPr calcId="171027"/>
</workbook>
</file>

<file path=xl/calcChain.xml><?xml version="1.0" encoding="utf-8"?>
<calcChain xmlns="http://schemas.openxmlformats.org/spreadsheetml/2006/main">
  <c r="I28" i="27" l="1"/>
  <c r="J28" i="27"/>
  <c r="K28" i="27"/>
  <c r="L28" i="27"/>
  <c r="M28" i="27"/>
  <c r="N28" i="27"/>
  <c r="O28" i="27"/>
  <c r="P28" i="27"/>
  <c r="Q28" i="27"/>
  <c r="R28" i="27"/>
  <c r="S28" i="27"/>
  <c r="T28" i="27"/>
  <c r="U28" i="27"/>
  <c r="V28" i="27"/>
  <c r="W28" i="27"/>
  <c r="X28" i="27"/>
  <c r="Y28" i="27"/>
  <c r="I340" i="27" l="1"/>
  <c r="J340" i="27"/>
  <c r="K340" i="27"/>
  <c r="L340" i="27"/>
  <c r="M340" i="27"/>
  <c r="N340" i="27"/>
  <c r="O340" i="27"/>
  <c r="P340" i="27"/>
  <c r="Q340" i="27"/>
  <c r="R340" i="27"/>
  <c r="S340" i="27"/>
  <c r="T340" i="27"/>
  <c r="U340" i="27"/>
  <c r="V340" i="27"/>
  <c r="W340" i="27"/>
  <c r="Y340" i="27"/>
  <c r="I339" i="27"/>
  <c r="J339" i="27"/>
  <c r="K339" i="27"/>
  <c r="L339" i="27"/>
  <c r="M339" i="27"/>
  <c r="N339" i="27"/>
  <c r="O339" i="27"/>
  <c r="P339" i="27"/>
  <c r="Q339" i="27"/>
  <c r="R339" i="27"/>
  <c r="S339" i="27"/>
  <c r="T339" i="27"/>
  <c r="U339" i="27"/>
  <c r="V339" i="27"/>
  <c r="W339" i="27"/>
  <c r="Y339" i="27"/>
  <c r="I338" i="27"/>
  <c r="J338" i="27"/>
  <c r="K338" i="27"/>
  <c r="L338" i="27"/>
  <c r="M338" i="27"/>
  <c r="N338" i="27"/>
  <c r="O338" i="27"/>
  <c r="P338" i="27"/>
  <c r="Q338" i="27"/>
  <c r="R338" i="27"/>
  <c r="S338" i="27"/>
  <c r="T338" i="27"/>
  <c r="U338" i="27"/>
  <c r="V338" i="27"/>
  <c r="W338" i="27"/>
  <c r="Y338" i="27"/>
  <c r="I337" i="27"/>
  <c r="J337" i="27"/>
  <c r="K337" i="27"/>
  <c r="L337" i="27"/>
  <c r="M337" i="27"/>
  <c r="N337" i="27"/>
  <c r="O337" i="27"/>
  <c r="P337" i="27"/>
  <c r="Q337" i="27"/>
  <c r="R337" i="27"/>
  <c r="S337" i="27"/>
  <c r="T337" i="27"/>
  <c r="U337" i="27"/>
  <c r="V337" i="27"/>
  <c r="W337" i="27"/>
  <c r="Y337" i="27"/>
  <c r="I336" i="27"/>
  <c r="J336" i="27"/>
  <c r="K336" i="27"/>
  <c r="L336" i="27"/>
  <c r="M336" i="27"/>
  <c r="N336" i="27"/>
  <c r="O336" i="27"/>
  <c r="P336" i="27"/>
  <c r="Q336" i="27"/>
  <c r="R336" i="27"/>
  <c r="S336" i="27"/>
  <c r="T336" i="27"/>
  <c r="U336" i="27"/>
  <c r="V336" i="27"/>
  <c r="W336" i="27"/>
  <c r="Y336" i="27"/>
  <c r="I335" i="27"/>
  <c r="J335" i="27"/>
  <c r="K335" i="27"/>
  <c r="L335" i="27"/>
  <c r="M335" i="27"/>
  <c r="N335" i="27"/>
  <c r="O335" i="27"/>
  <c r="P335" i="27"/>
  <c r="Q335" i="27"/>
  <c r="R335" i="27"/>
  <c r="S335" i="27"/>
  <c r="T335" i="27"/>
  <c r="U335" i="27"/>
  <c r="V335" i="27"/>
  <c r="W335" i="27"/>
  <c r="Y335" i="27"/>
  <c r="X340" i="27"/>
  <c r="X336" i="27"/>
  <c r="X339" i="27"/>
  <c r="X338" i="27"/>
  <c r="X337" i="27"/>
  <c r="X335" i="27"/>
  <c r="I26" i="27" l="1"/>
  <c r="J26" i="27"/>
  <c r="K26" i="27"/>
  <c r="L26" i="27"/>
  <c r="M26" i="27"/>
  <c r="N26" i="27"/>
  <c r="O26" i="27"/>
  <c r="P26" i="27"/>
  <c r="Q26" i="27"/>
  <c r="R26" i="27"/>
  <c r="S26" i="27"/>
  <c r="T26" i="27"/>
  <c r="U26" i="27"/>
  <c r="V26" i="27"/>
  <c r="W26" i="27"/>
  <c r="Y26" i="27"/>
  <c r="X26" i="27"/>
  <c r="I78" i="27" l="1"/>
  <c r="J78" i="27"/>
  <c r="K78" i="27"/>
  <c r="L78" i="27"/>
  <c r="M78" i="27"/>
  <c r="N78" i="27"/>
  <c r="O78" i="27"/>
  <c r="P78" i="27"/>
  <c r="Q78" i="27"/>
  <c r="R78" i="27"/>
  <c r="S78" i="27"/>
  <c r="T78" i="27"/>
  <c r="U78" i="27"/>
  <c r="V78" i="27"/>
  <c r="W78" i="27"/>
  <c r="Y78" i="27"/>
  <c r="Y196" i="27"/>
  <c r="W196" i="27"/>
  <c r="V196" i="27"/>
  <c r="U196" i="27"/>
  <c r="T196" i="27"/>
  <c r="S196" i="27"/>
  <c r="R196" i="27"/>
  <c r="Q196" i="27"/>
  <c r="P196" i="27"/>
  <c r="O196" i="27"/>
  <c r="N196" i="27"/>
  <c r="M196" i="27"/>
  <c r="L196" i="27"/>
  <c r="K196" i="27"/>
  <c r="J196" i="27"/>
  <c r="I196" i="27"/>
  <c r="Y195" i="27"/>
  <c r="W195" i="27"/>
  <c r="V195" i="27"/>
  <c r="U195" i="27"/>
  <c r="T195" i="27"/>
  <c r="S195" i="27"/>
  <c r="R195" i="27"/>
  <c r="Q195" i="27"/>
  <c r="P195" i="27"/>
  <c r="O195" i="27"/>
  <c r="N195" i="27"/>
  <c r="M195" i="27"/>
  <c r="L195" i="27"/>
  <c r="K195" i="27"/>
  <c r="J195" i="27"/>
  <c r="I195" i="27"/>
  <c r="X196" i="27"/>
  <c r="X78" i="27"/>
  <c r="X195" i="27"/>
  <c r="Y2" i="27" l="1"/>
  <c r="Y3" i="27"/>
  <c r="Y4" i="27"/>
  <c r="Y5" i="27"/>
  <c r="Y6" i="27"/>
  <c r="Y7" i="27"/>
  <c r="Y8" i="27"/>
  <c r="Y9" i="27"/>
  <c r="Y10" i="27"/>
  <c r="Y11" i="27"/>
  <c r="Y12" i="27"/>
  <c r="Y13" i="27"/>
  <c r="Y14" i="27"/>
  <c r="Y15" i="27"/>
  <c r="Y16" i="27"/>
  <c r="Y17" i="27"/>
  <c r="Y18" i="27"/>
  <c r="Y19" i="27"/>
  <c r="Y20" i="27"/>
  <c r="Y21" i="27"/>
  <c r="Y22" i="27"/>
  <c r="Y23" i="27"/>
  <c r="Y24" i="27"/>
  <c r="Y25" i="27"/>
  <c r="Y27"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19" i="27" l="1"/>
  <c r="I220" i="27"/>
  <c r="I221" i="27"/>
  <c r="I222" i="27"/>
  <c r="I223" i="27"/>
  <c r="I224" i="27"/>
  <c r="I225" i="27"/>
  <c r="J219" i="27"/>
  <c r="J220" i="27"/>
  <c r="J221" i="27"/>
  <c r="J222" i="27"/>
  <c r="J223" i="27"/>
  <c r="J224" i="27"/>
  <c r="J225" i="27"/>
  <c r="K219" i="27"/>
  <c r="K220" i="27"/>
  <c r="K221" i="27"/>
  <c r="K222" i="27"/>
  <c r="K223" i="27"/>
  <c r="K224" i="27"/>
  <c r="K225" i="27"/>
  <c r="L219" i="27"/>
  <c r="L220" i="27"/>
  <c r="L221" i="27"/>
  <c r="L222" i="27"/>
  <c r="L223" i="27"/>
  <c r="L224" i="27"/>
  <c r="L225" i="27"/>
  <c r="M219" i="27"/>
  <c r="M220" i="27"/>
  <c r="M221" i="27"/>
  <c r="M222" i="27"/>
  <c r="M223" i="27"/>
  <c r="M224" i="27"/>
  <c r="M225" i="27"/>
  <c r="N219" i="27"/>
  <c r="N220" i="27"/>
  <c r="N221" i="27"/>
  <c r="N222" i="27"/>
  <c r="N223" i="27"/>
  <c r="N224" i="27"/>
  <c r="N225" i="27"/>
  <c r="O219" i="27"/>
  <c r="O220" i="27"/>
  <c r="O221" i="27"/>
  <c r="O222" i="27"/>
  <c r="O223" i="27"/>
  <c r="O224" i="27"/>
  <c r="O225" i="27"/>
  <c r="P219" i="27"/>
  <c r="P220" i="27"/>
  <c r="P221" i="27"/>
  <c r="P222" i="27"/>
  <c r="P223" i="27"/>
  <c r="P224" i="27"/>
  <c r="P225" i="27"/>
  <c r="Q219" i="27"/>
  <c r="Q220" i="27"/>
  <c r="Q221" i="27"/>
  <c r="Q222" i="27"/>
  <c r="Q223" i="27"/>
  <c r="Q224" i="27"/>
  <c r="Q225" i="27"/>
  <c r="R219" i="27"/>
  <c r="R220" i="27"/>
  <c r="R221" i="27"/>
  <c r="R222" i="27"/>
  <c r="R223" i="27"/>
  <c r="R224" i="27"/>
  <c r="R225" i="27"/>
  <c r="S219" i="27"/>
  <c r="S220" i="27"/>
  <c r="S221" i="27"/>
  <c r="S222" i="27"/>
  <c r="S223" i="27"/>
  <c r="S224" i="27"/>
  <c r="S225" i="27"/>
  <c r="T219" i="27"/>
  <c r="T220" i="27"/>
  <c r="T221" i="27"/>
  <c r="T222" i="27"/>
  <c r="T223" i="27"/>
  <c r="T224" i="27"/>
  <c r="T225" i="27"/>
  <c r="U219" i="27"/>
  <c r="U220" i="27"/>
  <c r="U221" i="27"/>
  <c r="U222" i="27"/>
  <c r="U223" i="27"/>
  <c r="U224" i="27"/>
  <c r="U225" i="27"/>
  <c r="V219" i="27"/>
  <c r="V220" i="27"/>
  <c r="V221" i="27"/>
  <c r="V222" i="27"/>
  <c r="V223" i="27"/>
  <c r="V224" i="27"/>
  <c r="V225" i="27"/>
  <c r="W219" i="27"/>
  <c r="W220" i="27"/>
  <c r="W221" i="27"/>
  <c r="W222" i="27"/>
  <c r="W223" i="27"/>
  <c r="W224" i="27"/>
  <c r="W225" i="27"/>
  <c r="X223" i="27"/>
  <c r="X222" i="27"/>
  <c r="X220" i="27"/>
  <c r="X224" i="27"/>
  <c r="X221" i="27"/>
  <c r="X219" i="27"/>
  <c r="X225"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1" i="27"/>
  <c r="J171" i="27"/>
  <c r="K171" i="27"/>
  <c r="L171" i="27"/>
  <c r="M171" i="27"/>
  <c r="N171" i="27"/>
  <c r="O171" i="27"/>
  <c r="P171" i="27"/>
  <c r="Q171" i="27"/>
  <c r="R171" i="27"/>
  <c r="S171" i="27"/>
  <c r="T171" i="27"/>
  <c r="U171" i="27"/>
  <c r="V171" i="27"/>
  <c r="W171" i="27"/>
  <c r="I156" i="27"/>
  <c r="J156" i="27"/>
  <c r="K156" i="27"/>
  <c r="L156" i="27"/>
  <c r="M156" i="27"/>
  <c r="N156" i="27"/>
  <c r="O156" i="27"/>
  <c r="P156" i="27"/>
  <c r="Q156" i="27"/>
  <c r="R156" i="27"/>
  <c r="S156" i="27"/>
  <c r="T156" i="27"/>
  <c r="U156" i="27"/>
  <c r="V156" i="27"/>
  <c r="W156" i="27"/>
  <c r="X171" i="27"/>
  <c r="X156" i="27"/>
  <c r="I165" i="27" l="1"/>
  <c r="J165" i="27"/>
  <c r="K165" i="27"/>
  <c r="L165" i="27"/>
  <c r="M165" i="27"/>
  <c r="N165" i="27"/>
  <c r="O165" i="27"/>
  <c r="P165" i="27"/>
  <c r="Q165" i="27"/>
  <c r="R165" i="27"/>
  <c r="S165" i="27"/>
  <c r="T165" i="27"/>
  <c r="U165" i="27"/>
  <c r="V165" i="27"/>
  <c r="W165" i="27"/>
  <c r="I158" i="27"/>
  <c r="J158" i="27"/>
  <c r="K158" i="27"/>
  <c r="L158" i="27"/>
  <c r="M158" i="27"/>
  <c r="N158" i="27"/>
  <c r="O158" i="27"/>
  <c r="P158" i="27"/>
  <c r="Q158" i="27"/>
  <c r="R158" i="27"/>
  <c r="S158" i="27"/>
  <c r="T158" i="27"/>
  <c r="U158" i="27"/>
  <c r="V158" i="27"/>
  <c r="W158" i="27"/>
  <c r="I162" i="27"/>
  <c r="J162" i="27"/>
  <c r="K162" i="27"/>
  <c r="L162" i="27"/>
  <c r="M162" i="27"/>
  <c r="N162" i="27"/>
  <c r="O162" i="27"/>
  <c r="P162" i="27"/>
  <c r="Q162" i="27"/>
  <c r="R162" i="27"/>
  <c r="S162" i="27"/>
  <c r="T162" i="27"/>
  <c r="U162" i="27"/>
  <c r="V162" i="27"/>
  <c r="W162" i="27"/>
  <c r="I153" i="27"/>
  <c r="I154" i="27"/>
  <c r="I155" i="27"/>
  <c r="I157" i="27"/>
  <c r="I159" i="27"/>
  <c r="I160" i="27"/>
  <c r="I161" i="27"/>
  <c r="J153" i="27"/>
  <c r="J154" i="27"/>
  <c r="J155" i="27"/>
  <c r="J157" i="27"/>
  <c r="J159" i="27"/>
  <c r="J160" i="27"/>
  <c r="J161" i="27"/>
  <c r="K153" i="27"/>
  <c r="K154" i="27"/>
  <c r="K155" i="27"/>
  <c r="K157" i="27"/>
  <c r="K159" i="27"/>
  <c r="K160" i="27"/>
  <c r="K161" i="27"/>
  <c r="L153" i="27"/>
  <c r="L154" i="27"/>
  <c r="L155" i="27"/>
  <c r="L157" i="27"/>
  <c r="L159" i="27"/>
  <c r="L160" i="27"/>
  <c r="L161" i="27"/>
  <c r="M153" i="27"/>
  <c r="M154" i="27"/>
  <c r="M155" i="27"/>
  <c r="M157" i="27"/>
  <c r="M159" i="27"/>
  <c r="M160" i="27"/>
  <c r="M161" i="27"/>
  <c r="N153" i="27"/>
  <c r="N154" i="27"/>
  <c r="N155" i="27"/>
  <c r="N157" i="27"/>
  <c r="N159" i="27"/>
  <c r="N160" i="27"/>
  <c r="N161" i="27"/>
  <c r="O153" i="27"/>
  <c r="O154" i="27"/>
  <c r="O155" i="27"/>
  <c r="O157" i="27"/>
  <c r="O159" i="27"/>
  <c r="O160" i="27"/>
  <c r="O161" i="27"/>
  <c r="P153" i="27"/>
  <c r="P154" i="27"/>
  <c r="P155" i="27"/>
  <c r="P157" i="27"/>
  <c r="P159" i="27"/>
  <c r="P160" i="27"/>
  <c r="P161" i="27"/>
  <c r="Q153" i="27"/>
  <c r="Q154" i="27"/>
  <c r="Q155" i="27"/>
  <c r="Q157" i="27"/>
  <c r="Q159" i="27"/>
  <c r="Q160" i="27"/>
  <c r="Q161" i="27"/>
  <c r="R153" i="27"/>
  <c r="R154" i="27"/>
  <c r="R155" i="27"/>
  <c r="R157" i="27"/>
  <c r="R159" i="27"/>
  <c r="R160" i="27"/>
  <c r="R161" i="27"/>
  <c r="S153" i="27"/>
  <c r="S154" i="27"/>
  <c r="S155" i="27"/>
  <c r="S157" i="27"/>
  <c r="S159" i="27"/>
  <c r="S160" i="27"/>
  <c r="S161" i="27"/>
  <c r="T153" i="27"/>
  <c r="T154" i="27"/>
  <c r="T155" i="27"/>
  <c r="T157" i="27"/>
  <c r="T159" i="27"/>
  <c r="T160" i="27"/>
  <c r="T161" i="27"/>
  <c r="U153" i="27"/>
  <c r="U154" i="27"/>
  <c r="U155" i="27"/>
  <c r="U157" i="27"/>
  <c r="U159" i="27"/>
  <c r="U160" i="27"/>
  <c r="U161" i="27"/>
  <c r="V153" i="27"/>
  <c r="V154" i="27"/>
  <c r="V155" i="27"/>
  <c r="V157" i="27"/>
  <c r="V159" i="27"/>
  <c r="V160" i="27"/>
  <c r="V161" i="27"/>
  <c r="W153" i="27"/>
  <c r="W154" i="27"/>
  <c r="W155" i="27"/>
  <c r="W157" i="27"/>
  <c r="W159" i="27"/>
  <c r="W160" i="27"/>
  <c r="W161" i="27"/>
  <c r="X158" i="27"/>
  <c r="X161" i="27"/>
  <c r="X162" i="27"/>
  <c r="X153" i="27"/>
  <c r="X160" i="27"/>
  <c r="X157" i="27"/>
  <c r="X159" i="27"/>
  <c r="X154" i="27"/>
  <c r="X155" i="27"/>
  <c r="X165" i="27"/>
  <c r="I175" i="27" l="1"/>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3" i="27"/>
  <c r="J173" i="27"/>
  <c r="K173" i="27"/>
  <c r="L173" i="27"/>
  <c r="M173" i="27"/>
  <c r="N173" i="27"/>
  <c r="O173" i="27"/>
  <c r="P173" i="27"/>
  <c r="Q173" i="27"/>
  <c r="R173" i="27"/>
  <c r="S173" i="27"/>
  <c r="T173" i="27"/>
  <c r="U173" i="27"/>
  <c r="V173" i="27"/>
  <c r="W173" i="27"/>
  <c r="X173" i="27"/>
  <c r="X177" i="27"/>
  <c r="X175" i="27"/>
  <c r="I7" i="27" l="1"/>
  <c r="J7" i="27"/>
  <c r="K7" i="27"/>
  <c r="L7" i="27"/>
  <c r="M7" i="27"/>
  <c r="N7" i="27"/>
  <c r="O7" i="27"/>
  <c r="P7" i="27"/>
  <c r="Q7" i="27"/>
  <c r="R7" i="27"/>
  <c r="S7" i="27"/>
  <c r="T7" i="27"/>
  <c r="U7" i="27"/>
  <c r="V7" i="27"/>
  <c r="W7" i="27"/>
  <c r="X7" i="27"/>
  <c r="I176" i="27" l="1"/>
  <c r="J176" i="27"/>
  <c r="K176" i="27"/>
  <c r="L176" i="27"/>
  <c r="M176" i="27"/>
  <c r="N176" i="27"/>
  <c r="O176" i="27"/>
  <c r="P176" i="27"/>
  <c r="Q176" i="27"/>
  <c r="R176" i="27"/>
  <c r="S176" i="27"/>
  <c r="T176" i="27"/>
  <c r="U176" i="27"/>
  <c r="V176" i="27"/>
  <c r="W176" i="27"/>
  <c r="I174" i="27"/>
  <c r="J174" i="27"/>
  <c r="K174" i="27"/>
  <c r="L174" i="27"/>
  <c r="M174" i="27"/>
  <c r="N174" i="27"/>
  <c r="O174" i="27"/>
  <c r="P174" i="27"/>
  <c r="Q174" i="27"/>
  <c r="R174" i="27"/>
  <c r="S174" i="27"/>
  <c r="T174" i="27"/>
  <c r="U174" i="27"/>
  <c r="V174" i="27"/>
  <c r="W174" i="27"/>
  <c r="I170" i="27"/>
  <c r="J170" i="27"/>
  <c r="K170" i="27"/>
  <c r="L170" i="27"/>
  <c r="M170" i="27"/>
  <c r="N170" i="27"/>
  <c r="O170" i="27"/>
  <c r="P170" i="27"/>
  <c r="Q170" i="27"/>
  <c r="R170" i="27"/>
  <c r="S170" i="27"/>
  <c r="T170" i="27"/>
  <c r="U170" i="27"/>
  <c r="V170" i="27"/>
  <c r="W170" i="27"/>
  <c r="I172" i="27"/>
  <c r="J172" i="27"/>
  <c r="K172" i="27"/>
  <c r="L172" i="27"/>
  <c r="M172" i="27"/>
  <c r="N172" i="27"/>
  <c r="O172" i="27"/>
  <c r="P172" i="27"/>
  <c r="Q172" i="27"/>
  <c r="R172" i="27"/>
  <c r="S172" i="27"/>
  <c r="T172" i="27"/>
  <c r="U172" i="27"/>
  <c r="V172" i="27"/>
  <c r="W172" i="27"/>
  <c r="I169" i="27"/>
  <c r="J169" i="27"/>
  <c r="K169" i="27"/>
  <c r="L169" i="27"/>
  <c r="M169" i="27"/>
  <c r="N169" i="27"/>
  <c r="O169" i="27"/>
  <c r="P169" i="27"/>
  <c r="Q169" i="27"/>
  <c r="R169" i="27"/>
  <c r="S169" i="27"/>
  <c r="T169" i="27"/>
  <c r="U169" i="27"/>
  <c r="V169" i="27"/>
  <c r="W169" i="27"/>
  <c r="I168" i="27"/>
  <c r="J168" i="27"/>
  <c r="K168" i="27"/>
  <c r="L168" i="27"/>
  <c r="M168" i="27"/>
  <c r="N168" i="27"/>
  <c r="O168" i="27"/>
  <c r="P168" i="27"/>
  <c r="Q168" i="27"/>
  <c r="R168" i="27"/>
  <c r="S168" i="27"/>
  <c r="T168" i="27"/>
  <c r="U168" i="27"/>
  <c r="V168" i="27"/>
  <c r="W168" i="27"/>
  <c r="X172" i="27"/>
  <c r="X168" i="27"/>
  <c r="X174" i="27"/>
  <c r="X169" i="27"/>
  <c r="X176" i="27"/>
  <c r="X170" i="27"/>
  <c r="I251" i="27" l="1"/>
  <c r="J251" i="27"/>
  <c r="K251" i="27"/>
  <c r="L251" i="27"/>
  <c r="M251" i="27"/>
  <c r="N251" i="27"/>
  <c r="O251" i="27"/>
  <c r="P251" i="27"/>
  <c r="Q251" i="27"/>
  <c r="R251" i="27"/>
  <c r="S251" i="27"/>
  <c r="T251" i="27"/>
  <c r="U251" i="27"/>
  <c r="V251" i="27"/>
  <c r="W251" i="27"/>
  <c r="X25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08" i="27"/>
  <c r="J208" i="27"/>
  <c r="K208" i="27"/>
  <c r="L208" i="27"/>
  <c r="M208" i="27"/>
  <c r="N208" i="27"/>
  <c r="O208" i="27"/>
  <c r="P208" i="27"/>
  <c r="Q208" i="27"/>
  <c r="R208" i="27"/>
  <c r="S208" i="27"/>
  <c r="T208" i="27"/>
  <c r="U208" i="27"/>
  <c r="V208" i="27"/>
  <c r="W208" i="27"/>
  <c r="W76" i="27"/>
  <c r="V76" i="27"/>
  <c r="U76" i="27"/>
  <c r="T76" i="27"/>
  <c r="S76" i="27"/>
  <c r="R76" i="27"/>
  <c r="Q76" i="27"/>
  <c r="P76" i="27"/>
  <c r="O76" i="27"/>
  <c r="N76" i="27"/>
  <c r="M76" i="27"/>
  <c r="L76" i="27"/>
  <c r="K76" i="27"/>
  <c r="J76" i="27"/>
  <c r="I76" i="27"/>
  <c r="I63" i="27"/>
  <c r="J63" i="27"/>
  <c r="K63" i="27"/>
  <c r="L63" i="27"/>
  <c r="M63" i="27"/>
  <c r="N63" i="27"/>
  <c r="O63" i="27"/>
  <c r="P63" i="27"/>
  <c r="Q63" i="27"/>
  <c r="R63" i="27"/>
  <c r="S63" i="27"/>
  <c r="T63" i="27"/>
  <c r="U63" i="27"/>
  <c r="V63" i="27"/>
  <c r="W63" i="27"/>
  <c r="I56" i="27"/>
  <c r="I57" i="27"/>
  <c r="I58" i="27"/>
  <c r="J56" i="27"/>
  <c r="J57" i="27"/>
  <c r="J58" i="27"/>
  <c r="K56" i="27"/>
  <c r="K57" i="27"/>
  <c r="K58" i="27"/>
  <c r="L56" i="27"/>
  <c r="L57" i="27"/>
  <c r="L58" i="27"/>
  <c r="M56" i="27"/>
  <c r="M57" i="27"/>
  <c r="M58" i="27"/>
  <c r="N56" i="27"/>
  <c r="N57" i="27"/>
  <c r="N58" i="27"/>
  <c r="O56" i="27"/>
  <c r="O57" i="27"/>
  <c r="O58" i="27"/>
  <c r="P56" i="27"/>
  <c r="P57" i="27"/>
  <c r="P58" i="27"/>
  <c r="Q56" i="27"/>
  <c r="Q57" i="27"/>
  <c r="Q58" i="27"/>
  <c r="R56" i="27"/>
  <c r="R57" i="27"/>
  <c r="R58" i="27"/>
  <c r="S56" i="27"/>
  <c r="S57" i="27"/>
  <c r="S58" i="27"/>
  <c r="T56" i="27"/>
  <c r="T57" i="27"/>
  <c r="T58" i="27"/>
  <c r="U56" i="27"/>
  <c r="U57" i="27"/>
  <c r="U58" i="27"/>
  <c r="V56" i="27"/>
  <c r="V57" i="27"/>
  <c r="V58" i="27"/>
  <c r="W56" i="27"/>
  <c r="W57" i="27"/>
  <c r="W58" i="27"/>
  <c r="I48" i="27"/>
  <c r="J48" i="27"/>
  <c r="K48" i="27"/>
  <c r="L48" i="27"/>
  <c r="M48" i="27"/>
  <c r="N48" i="27"/>
  <c r="O48" i="27"/>
  <c r="P48" i="27"/>
  <c r="Q48" i="27"/>
  <c r="R48" i="27"/>
  <c r="S48" i="27"/>
  <c r="T48" i="27"/>
  <c r="U48" i="27"/>
  <c r="V48" i="27"/>
  <c r="W48" i="27"/>
  <c r="I55" i="27"/>
  <c r="J55" i="27"/>
  <c r="K55" i="27"/>
  <c r="L55" i="27"/>
  <c r="M55" i="27"/>
  <c r="N55" i="27"/>
  <c r="O55" i="27"/>
  <c r="P55" i="27"/>
  <c r="Q55" i="27"/>
  <c r="R55" i="27"/>
  <c r="S55" i="27"/>
  <c r="T55" i="27"/>
  <c r="U55" i="27"/>
  <c r="V55" i="27"/>
  <c r="W55" i="27"/>
  <c r="I52" i="27"/>
  <c r="I53" i="27"/>
  <c r="I54"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I72" i="27"/>
  <c r="J72" i="27"/>
  <c r="K72" i="27"/>
  <c r="L72" i="27"/>
  <c r="M72" i="27"/>
  <c r="N72" i="27"/>
  <c r="O72" i="27"/>
  <c r="P72" i="27"/>
  <c r="Q72" i="27"/>
  <c r="R72" i="27"/>
  <c r="S72" i="27"/>
  <c r="T72" i="27"/>
  <c r="U72" i="27"/>
  <c r="V72" i="27"/>
  <c r="W72"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V68" i="27"/>
  <c r="V69" i="27"/>
  <c r="W68" i="27"/>
  <c r="W69" i="27"/>
  <c r="I62" i="27"/>
  <c r="J62" i="27"/>
  <c r="K62" i="27"/>
  <c r="L62" i="27"/>
  <c r="M62" i="27"/>
  <c r="N62" i="27"/>
  <c r="O62" i="27"/>
  <c r="P62" i="27"/>
  <c r="Q62" i="27"/>
  <c r="R62" i="27"/>
  <c r="S62" i="27"/>
  <c r="T62" i="27"/>
  <c r="U62" i="27"/>
  <c r="V62" i="27"/>
  <c r="W62" i="27"/>
  <c r="I59" i="27"/>
  <c r="I60" i="27"/>
  <c r="I61" i="27"/>
  <c r="I64" i="27"/>
  <c r="I65" i="27"/>
  <c r="I66" i="27"/>
  <c r="I67" i="27"/>
  <c r="I70" i="27"/>
  <c r="I71" i="27"/>
  <c r="J59" i="27"/>
  <c r="J60" i="27"/>
  <c r="J61" i="27"/>
  <c r="J64" i="27"/>
  <c r="J65" i="27"/>
  <c r="J66" i="27"/>
  <c r="J67" i="27"/>
  <c r="J70" i="27"/>
  <c r="J71" i="27"/>
  <c r="K59" i="27"/>
  <c r="K60" i="27"/>
  <c r="K61" i="27"/>
  <c r="K64" i="27"/>
  <c r="K65" i="27"/>
  <c r="K66" i="27"/>
  <c r="K67" i="27"/>
  <c r="K70" i="27"/>
  <c r="K71" i="27"/>
  <c r="L59" i="27"/>
  <c r="L60" i="27"/>
  <c r="L61" i="27"/>
  <c r="L64" i="27"/>
  <c r="L65" i="27"/>
  <c r="L66" i="27"/>
  <c r="L67" i="27"/>
  <c r="L70" i="27"/>
  <c r="L71" i="27"/>
  <c r="M59" i="27"/>
  <c r="M60" i="27"/>
  <c r="M61" i="27"/>
  <c r="M64" i="27"/>
  <c r="M65" i="27"/>
  <c r="M66" i="27"/>
  <c r="M67" i="27"/>
  <c r="M70" i="27"/>
  <c r="M71" i="27"/>
  <c r="N59" i="27"/>
  <c r="N60" i="27"/>
  <c r="N61" i="27"/>
  <c r="N64" i="27"/>
  <c r="N65" i="27"/>
  <c r="N66" i="27"/>
  <c r="N67" i="27"/>
  <c r="N70" i="27"/>
  <c r="N71" i="27"/>
  <c r="O59" i="27"/>
  <c r="O60" i="27"/>
  <c r="O61" i="27"/>
  <c r="O64" i="27"/>
  <c r="O65" i="27"/>
  <c r="O66" i="27"/>
  <c r="O67" i="27"/>
  <c r="O70" i="27"/>
  <c r="O71" i="27"/>
  <c r="P59" i="27"/>
  <c r="P60" i="27"/>
  <c r="P61" i="27"/>
  <c r="P64" i="27"/>
  <c r="P65" i="27"/>
  <c r="P66" i="27"/>
  <c r="P67" i="27"/>
  <c r="P70" i="27"/>
  <c r="P71" i="27"/>
  <c r="Q59" i="27"/>
  <c r="Q60" i="27"/>
  <c r="Q61" i="27"/>
  <c r="Q64" i="27"/>
  <c r="Q65" i="27"/>
  <c r="Q66" i="27"/>
  <c r="Q67" i="27"/>
  <c r="Q70" i="27"/>
  <c r="Q71" i="27"/>
  <c r="R59" i="27"/>
  <c r="R60" i="27"/>
  <c r="R61" i="27"/>
  <c r="R64" i="27"/>
  <c r="R65" i="27"/>
  <c r="R66" i="27"/>
  <c r="R67" i="27"/>
  <c r="R70" i="27"/>
  <c r="R71" i="27"/>
  <c r="S59" i="27"/>
  <c r="S60" i="27"/>
  <c r="S61" i="27"/>
  <c r="S64" i="27"/>
  <c r="S65" i="27"/>
  <c r="S66" i="27"/>
  <c r="S67" i="27"/>
  <c r="S70" i="27"/>
  <c r="S71" i="27"/>
  <c r="T59" i="27"/>
  <c r="T60" i="27"/>
  <c r="T61" i="27"/>
  <c r="T64" i="27"/>
  <c r="T65" i="27"/>
  <c r="T66" i="27"/>
  <c r="T67" i="27"/>
  <c r="T70" i="27"/>
  <c r="T71" i="27"/>
  <c r="U59" i="27"/>
  <c r="U60" i="27"/>
  <c r="U61" i="27"/>
  <c r="U64" i="27"/>
  <c r="U65" i="27"/>
  <c r="U66" i="27"/>
  <c r="U67" i="27"/>
  <c r="U70" i="27"/>
  <c r="U71" i="27"/>
  <c r="V59" i="27"/>
  <c r="V60" i="27"/>
  <c r="V61" i="27"/>
  <c r="V64" i="27"/>
  <c r="V65" i="27"/>
  <c r="V66" i="27"/>
  <c r="V67" i="27"/>
  <c r="V70" i="27"/>
  <c r="V71" i="27"/>
  <c r="W59" i="27"/>
  <c r="W60" i="27"/>
  <c r="W61" i="27"/>
  <c r="W64" i="27"/>
  <c r="W65" i="27"/>
  <c r="W66" i="27"/>
  <c r="W67" i="27"/>
  <c r="W70" i="27"/>
  <c r="W71" i="27"/>
  <c r="X76" i="27"/>
  <c r="X53" i="27"/>
  <c r="X69" i="27"/>
  <c r="X55" i="27"/>
  <c r="X67" i="27"/>
  <c r="X59" i="27"/>
  <c r="X54" i="27"/>
  <c r="X65" i="27"/>
  <c r="X70" i="27"/>
  <c r="X61" i="27"/>
  <c r="X60" i="27"/>
  <c r="X48" i="27"/>
  <c r="X63" i="27"/>
  <c r="X71" i="27"/>
  <c r="X57" i="27"/>
  <c r="X208" i="27"/>
  <c r="X56" i="27"/>
  <c r="X52" i="27"/>
  <c r="X66" i="27"/>
  <c r="X72" i="27"/>
  <c r="X68" i="27"/>
  <c r="X62" i="27"/>
  <c r="X58" i="27"/>
  <c r="X64" i="27"/>
  <c r="I42" i="27" l="1"/>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105" i="27"/>
  <c r="J105" i="27"/>
  <c r="K105" i="27"/>
  <c r="L105" i="27"/>
  <c r="M105" i="27"/>
  <c r="N105" i="27"/>
  <c r="O105" i="27"/>
  <c r="P105" i="27"/>
  <c r="Q105" i="27"/>
  <c r="R105" i="27"/>
  <c r="S105" i="27"/>
  <c r="T105" i="27"/>
  <c r="U105" i="27"/>
  <c r="V105" i="27"/>
  <c r="W105"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I49" i="27"/>
  <c r="J49" i="27"/>
  <c r="K49" i="27"/>
  <c r="L49" i="27"/>
  <c r="M49" i="27"/>
  <c r="N49" i="27"/>
  <c r="O49" i="27"/>
  <c r="P49" i="27"/>
  <c r="Q49" i="27"/>
  <c r="R49" i="27"/>
  <c r="S49" i="27"/>
  <c r="T49" i="27"/>
  <c r="U49" i="27"/>
  <c r="V49" i="27"/>
  <c r="W49" i="27"/>
  <c r="I18" i="27"/>
  <c r="J18" i="27"/>
  <c r="K18" i="27"/>
  <c r="L18" i="27"/>
  <c r="M18" i="27"/>
  <c r="N18" i="27"/>
  <c r="O18" i="27"/>
  <c r="P18" i="27"/>
  <c r="Q18" i="27"/>
  <c r="R18" i="27"/>
  <c r="S18" i="27"/>
  <c r="T18" i="27"/>
  <c r="U18" i="27"/>
  <c r="V18" i="27"/>
  <c r="W18" i="27"/>
  <c r="X32" i="27"/>
  <c r="X29" i="27"/>
  <c r="X42" i="27"/>
  <c r="X43" i="27"/>
  <c r="X31" i="27"/>
  <c r="X30" i="27"/>
  <c r="X105" i="27"/>
  <c r="X18" i="27"/>
  <c r="X49" i="27"/>
  <c r="I107" i="27" l="1"/>
  <c r="J107" i="27"/>
  <c r="K107" i="27"/>
  <c r="L107" i="27"/>
  <c r="M107" i="27"/>
  <c r="N107" i="27"/>
  <c r="O107" i="27"/>
  <c r="P107" i="27"/>
  <c r="Q107" i="27"/>
  <c r="R107" i="27"/>
  <c r="S107" i="27"/>
  <c r="T107" i="27"/>
  <c r="U107" i="27"/>
  <c r="V107" i="27"/>
  <c r="W107" i="27"/>
  <c r="I106" i="27"/>
  <c r="J106" i="27"/>
  <c r="K106" i="27"/>
  <c r="L106" i="27"/>
  <c r="M106" i="27"/>
  <c r="N106" i="27"/>
  <c r="O106" i="27"/>
  <c r="P106" i="27"/>
  <c r="Q106" i="27"/>
  <c r="R106" i="27"/>
  <c r="S106" i="27"/>
  <c r="T106" i="27"/>
  <c r="U106" i="27"/>
  <c r="V106" i="27"/>
  <c r="W106" i="27"/>
  <c r="I204" i="27"/>
  <c r="J204" i="27"/>
  <c r="K204" i="27"/>
  <c r="L204" i="27"/>
  <c r="M204" i="27"/>
  <c r="N204" i="27"/>
  <c r="O204" i="27"/>
  <c r="P204" i="27"/>
  <c r="Q204" i="27"/>
  <c r="R204" i="27"/>
  <c r="S204" i="27"/>
  <c r="T204" i="27"/>
  <c r="U204" i="27"/>
  <c r="V204" i="27"/>
  <c r="W204" i="27"/>
  <c r="I203" i="27"/>
  <c r="J203" i="27"/>
  <c r="K203" i="27"/>
  <c r="L203" i="27"/>
  <c r="M203" i="27"/>
  <c r="N203" i="27"/>
  <c r="O203" i="27"/>
  <c r="P203" i="27"/>
  <c r="Q203" i="27"/>
  <c r="R203" i="27"/>
  <c r="S203" i="27"/>
  <c r="T203" i="27"/>
  <c r="U203" i="27"/>
  <c r="V203" i="27"/>
  <c r="W203" i="27"/>
  <c r="I202" i="27"/>
  <c r="J202" i="27"/>
  <c r="K202" i="27"/>
  <c r="L202" i="27"/>
  <c r="M202" i="27"/>
  <c r="N202" i="27"/>
  <c r="O202" i="27"/>
  <c r="P202" i="27"/>
  <c r="Q202" i="27"/>
  <c r="R202" i="27"/>
  <c r="S202" i="27"/>
  <c r="T202" i="27"/>
  <c r="U202" i="27"/>
  <c r="V202" i="27"/>
  <c r="W202" i="27"/>
  <c r="X202" i="27"/>
  <c r="X107" i="27"/>
  <c r="X203" i="27"/>
  <c r="X106" i="27"/>
  <c r="X204" i="27"/>
  <c r="I308" i="27" l="1"/>
  <c r="J308" i="27"/>
  <c r="K308" i="27"/>
  <c r="L308" i="27"/>
  <c r="M308" i="27"/>
  <c r="N308" i="27"/>
  <c r="O308" i="27"/>
  <c r="P308" i="27"/>
  <c r="Q308" i="27"/>
  <c r="R308" i="27"/>
  <c r="S308" i="27"/>
  <c r="T308" i="27"/>
  <c r="U308" i="27"/>
  <c r="V308" i="27"/>
  <c r="W308" i="27"/>
  <c r="X308" i="27"/>
  <c r="I214" i="27" l="1"/>
  <c r="J214" i="27"/>
  <c r="K214" i="27"/>
  <c r="L214" i="27"/>
  <c r="M214" i="27"/>
  <c r="N214" i="27"/>
  <c r="O214" i="27"/>
  <c r="P214" i="27"/>
  <c r="Q214" i="27"/>
  <c r="R214" i="27"/>
  <c r="S214" i="27"/>
  <c r="T214" i="27"/>
  <c r="U214" i="27"/>
  <c r="V214" i="27"/>
  <c r="W214" i="27"/>
  <c r="X214" i="27"/>
  <c r="I186" i="27" l="1"/>
  <c r="J186" i="27"/>
  <c r="K186" i="27"/>
  <c r="L186" i="27"/>
  <c r="M186" i="27"/>
  <c r="N186" i="27"/>
  <c r="O186" i="27"/>
  <c r="P186" i="27"/>
  <c r="Q186" i="27"/>
  <c r="R186" i="27"/>
  <c r="S186" i="27"/>
  <c r="T186" i="27"/>
  <c r="U186" i="27"/>
  <c r="V186" i="27"/>
  <c r="W186" i="27"/>
  <c r="I288" i="27"/>
  <c r="J288" i="27"/>
  <c r="K288" i="27"/>
  <c r="L288" i="27"/>
  <c r="M288" i="27"/>
  <c r="N288" i="27"/>
  <c r="O288" i="27"/>
  <c r="P288" i="27"/>
  <c r="Q288" i="27"/>
  <c r="R288" i="27"/>
  <c r="S288" i="27"/>
  <c r="T288" i="27"/>
  <c r="U288" i="27"/>
  <c r="V288" i="27"/>
  <c r="W288" i="27"/>
  <c r="W292" i="27"/>
  <c r="V292" i="27"/>
  <c r="U292" i="27"/>
  <c r="T292" i="27"/>
  <c r="S292" i="27"/>
  <c r="R292" i="27"/>
  <c r="Q292" i="27"/>
  <c r="P292" i="27"/>
  <c r="O292" i="27"/>
  <c r="N292" i="27"/>
  <c r="M292" i="27"/>
  <c r="L292" i="27"/>
  <c r="K292" i="27"/>
  <c r="J292" i="27"/>
  <c r="I292" i="27"/>
  <c r="W291" i="27"/>
  <c r="V291" i="27"/>
  <c r="U291" i="27"/>
  <c r="T291" i="27"/>
  <c r="S291" i="27"/>
  <c r="R291" i="27"/>
  <c r="Q291" i="27"/>
  <c r="P291" i="27"/>
  <c r="O291" i="27"/>
  <c r="N291" i="27"/>
  <c r="M291" i="27"/>
  <c r="L291" i="27"/>
  <c r="K291" i="27"/>
  <c r="J291" i="27"/>
  <c r="I291" i="27"/>
  <c r="I281" i="27"/>
  <c r="J281" i="27"/>
  <c r="K281" i="27"/>
  <c r="L281" i="27"/>
  <c r="M281" i="27"/>
  <c r="N281" i="27"/>
  <c r="O281" i="27"/>
  <c r="P281" i="27"/>
  <c r="Q281" i="27"/>
  <c r="R281" i="27"/>
  <c r="S281" i="27"/>
  <c r="T281" i="27"/>
  <c r="U281" i="27"/>
  <c r="V281" i="27"/>
  <c r="W281" i="27"/>
  <c r="I274" i="27"/>
  <c r="J274" i="27"/>
  <c r="K274" i="27"/>
  <c r="L274" i="27"/>
  <c r="M274" i="27"/>
  <c r="N274" i="27"/>
  <c r="O274" i="27"/>
  <c r="P274" i="27"/>
  <c r="Q274" i="27"/>
  <c r="R274" i="27"/>
  <c r="S274" i="27"/>
  <c r="T274" i="27"/>
  <c r="U274" i="27"/>
  <c r="V274" i="27"/>
  <c r="W274" i="27"/>
  <c r="I266" i="27"/>
  <c r="J266" i="27"/>
  <c r="K266" i="27"/>
  <c r="L266" i="27"/>
  <c r="M266" i="27"/>
  <c r="N266" i="27"/>
  <c r="O266" i="27"/>
  <c r="P266" i="27"/>
  <c r="Q266" i="27"/>
  <c r="R266" i="27"/>
  <c r="S266" i="27"/>
  <c r="T266" i="27"/>
  <c r="U266" i="27"/>
  <c r="V266" i="27"/>
  <c r="W266" i="27"/>
  <c r="I201" i="27"/>
  <c r="J201" i="27"/>
  <c r="K201" i="27"/>
  <c r="L201" i="27"/>
  <c r="M201" i="27"/>
  <c r="N201" i="27"/>
  <c r="O201" i="27"/>
  <c r="P201" i="27"/>
  <c r="Q201" i="27"/>
  <c r="R201" i="27"/>
  <c r="S201" i="27"/>
  <c r="T201" i="27"/>
  <c r="U201" i="27"/>
  <c r="V201" i="27"/>
  <c r="W201" i="27"/>
  <c r="I108" i="27"/>
  <c r="J108" i="27"/>
  <c r="K108" i="27"/>
  <c r="L108" i="27"/>
  <c r="M108" i="27"/>
  <c r="N108" i="27"/>
  <c r="O108" i="27"/>
  <c r="P108" i="27"/>
  <c r="Q108" i="27"/>
  <c r="R108" i="27"/>
  <c r="S108" i="27"/>
  <c r="T108" i="27"/>
  <c r="U108" i="27"/>
  <c r="V108" i="27"/>
  <c r="W108" i="27"/>
  <c r="I35" i="27"/>
  <c r="J35" i="27"/>
  <c r="K35" i="27"/>
  <c r="L35" i="27"/>
  <c r="M35" i="27"/>
  <c r="N35" i="27"/>
  <c r="O35" i="27"/>
  <c r="P35" i="27"/>
  <c r="Q35" i="27"/>
  <c r="R35" i="27"/>
  <c r="S35" i="27"/>
  <c r="T35" i="27"/>
  <c r="U35" i="27"/>
  <c r="V35" i="27"/>
  <c r="W35"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6" i="27"/>
  <c r="J6" i="27"/>
  <c r="K6" i="27"/>
  <c r="L6" i="27"/>
  <c r="M6" i="27"/>
  <c r="N6" i="27"/>
  <c r="O6" i="27"/>
  <c r="P6" i="27"/>
  <c r="Q6" i="27"/>
  <c r="R6" i="27"/>
  <c r="S6" i="27"/>
  <c r="T6" i="27"/>
  <c r="U6" i="27"/>
  <c r="V6" i="27"/>
  <c r="W6" i="27"/>
  <c r="X186" i="27"/>
  <c r="X266" i="27"/>
  <c r="X288" i="27"/>
  <c r="X91" i="27"/>
  <c r="X6" i="27"/>
  <c r="X291" i="27"/>
  <c r="X292" i="27"/>
  <c r="X201" i="27"/>
  <c r="X92" i="27"/>
  <c r="X108" i="27"/>
  <c r="X274" i="27"/>
  <c r="X35" i="27"/>
  <c r="X281"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7" i="27"/>
  <c r="J77" i="27"/>
  <c r="K77" i="27"/>
  <c r="L77" i="27"/>
  <c r="M77" i="27"/>
  <c r="N77" i="27"/>
  <c r="O77" i="27"/>
  <c r="P77" i="27"/>
  <c r="Q77" i="27"/>
  <c r="R77" i="27"/>
  <c r="S77" i="27"/>
  <c r="T77" i="27"/>
  <c r="U77" i="27"/>
  <c r="V77" i="27"/>
  <c r="W77"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9" i="27"/>
  <c r="J89" i="27"/>
  <c r="K89" i="27"/>
  <c r="L89" i="27"/>
  <c r="M89" i="27"/>
  <c r="N89" i="27"/>
  <c r="O89" i="27"/>
  <c r="P89" i="27"/>
  <c r="Q89" i="27"/>
  <c r="R89" i="27"/>
  <c r="S89" i="27"/>
  <c r="T89" i="27"/>
  <c r="U89" i="27"/>
  <c r="V89" i="27"/>
  <c r="W89" i="27"/>
  <c r="I88" i="27"/>
  <c r="J88" i="27"/>
  <c r="K88" i="27"/>
  <c r="L88" i="27"/>
  <c r="M88" i="27"/>
  <c r="N88" i="27"/>
  <c r="O88" i="27"/>
  <c r="P88" i="27"/>
  <c r="Q88" i="27"/>
  <c r="R88" i="27"/>
  <c r="S88" i="27"/>
  <c r="T88" i="27"/>
  <c r="U88" i="27"/>
  <c r="V88" i="27"/>
  <c r="W88" i="27"/>
  <c r="I90" i="27"/>
  <c r="J90" i="27"/>
  <c r="K90" i="27"/>
  <c r="L90" i="27"/>
  <c r="M90" i="27"/>
  <c r="N90" i="27"/>
  <c r="O90" i="27"/>
  <c r="P90" i="27"/>
  <c r="Q90" i="27"/>
  <c r="R90" i="27"/>
  <c r="S90" i="27"/>
  <c r="T90" i="27"/>
  <c r="U90" i="27"/>
  <c r="V90" i="27"/>
  <c r="W90"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V239" i="27"/>
  <c r="I239" i="27"/>
  <c r="J239" i="27"/>
  <c r="K239" i="27"/>
  <c r="L239" i="27"/>
  <c r="M239" i="27"/>
  <c r="N239" i="27"/>
  <c r="O239" i="27"/>
  <c r="P239" i="27"/>
  <c r="Q239" i="27"/>
  <c r="R239" i="27"/>
  <c r="S239" i="27"/>
  <c r="T239" i="27"/>
  <c r="U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93" i="27"/>
  <c r="J293" i="27"/>
  <c r="K293" i="27"/>
  <c r="L293" i="27"/>
  <c r="M293" i="27"/>
  <c r="N293" i="27"/>
  <c r="O293" i="27"/>
  <c r="P293" i="27"/>
  <c r="Q293" i="27"/>
  <c r="R293" i="27"/>
  <c r="S293" i="27"/>
  <c r="T293" i="27"/>
  <c r="U293" i="27"/>
  <c r="V293" i="27"/>
  <c r="W293" i="27"/>
  <c r="V294" i="27"/>
  <c r="I294" i="27"/>
  <c r="J294" i="27"/>
  <c r="K294" i="27"/>
  <c r="L294" i="27"/>
  <c r="M294" i="27"/>
  <c r="N294" i="27"/>
  <c r="O294" i="27"/>
  <c r="P294" i="27"/>
  <c r="Q294" i="27"/>
  <c r="R294" i="27"/>
  <c r="S294" i="27"/>
  <c r="T294" i="27"/>
  <c r="U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9" i="27"/>
  <c r="J309" i="27"/>
  <c r="K309" i="27"/>
  <c r="L309" i="27"/>
  <c r="M309" i="27"/>
  <c r="N309" i="27"/>
  <c r="O309" i="27"/>
  <c r="P309" i="27"/>
  <c r="Q309" i="27"/>
  <c r="R309" i="27"/>
  <c r="S309" i="27"/>
  <c r="T309" i="27"/>
  <c r="U309" i="27"/>
  <c r="V309" i="27"/>
  <c r="W309" i="27"/>
  <c r="V310" i="27"/>
  <c r="I310" i="27"/>
  <c r="J310" i="27"/>
  <c r="K310" i="27"/>
  <c r="L310" i="27"/>
  <c r="M310" i="27"/>
  <c r="N310" i="27"/>
  <c r="O310" i="27"/>
  <c r="P310" i="27"/>
  <c r="Q310" i="27"/>
  <c r="R310" i="27"/>
  <c r="S310" i="27"/>
  <c r="T310" i="27"/>
  <c r="U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V315" i="27"/>
  <c r="I315" i="27"/>
  <c r="J315" i="27"/>
  <c r="K315" i="27"/>
  <c r="L315" i="27"/>
  <c r="M315" i="27"/>
  <c r="N315" i="27"/>
  <c r="O315" i="27"/>
  <c r="P315" i="27"/>
  <c r="Q315" i="27"/>
  <c r="R315" i="27"/>
  <c r="S315" i="27"/>
  <c r="T315" i="27"/>
  <c r="U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41"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17" i="27"/>
  <c r="X262" i="27"/>
  <c r="X245" i="27"/>
  <c r="X246" i="27"/>
  <c r="X215" i="27"/>
  <c r="X142" i="27"/>
  <c r="X130" i="27"/>
  <c r="X260" i="27"/>
  <c r="X209" i="27"/>
  <c r="X255" i="27"/>
  <c r="X122" i="27"/>
  <c r="X40" i="27"/>
  <c r="X263" i="27"/>
  <c r="X126" i="27"/>
  <c r="X199" i="27"/>
  <c r="X249" i="27"/>
  <c r="X323" i="27"/>
  <c r="X180" i="27"/>
  <c r="X302" i="27"/>
  <c r="X226" i="27"/>
  <c r="X303" i="27"/>
  <c r="X4" i="27"/>
  <c r="X14" i="27"/>
  <c r="X324" i="27"/>
  <c r="X273" i="27"/>
  <c r="X115" i="27"/>
  <c r="X306" i="27"/>
  <c r="X120" i="27"/>
  <c r="X36" i="27"/>
  <c r="X16" i="27"/>
  <c r="X19" i="27"/>
  <c r="X133" i="27"/>
  <c r="X8" i="27"/>
  <c r="X233" i="27"/>
  <c r="X109" i="27"/>
  <c r="X125" i="27"/>
  <c r="X179" i="27"/>
  <c r="X117" i="27"/>
  <c r="X242" i="27"/>
  <c r="X269" i="27"/>
  <c r="X12" i="27"/>
  <c r="X75" i="27"/>
  <c r="X183" i="27"/>
  <c r="X118" i="27"/>
  <c r="X305" i="27"/>
  <c r="X77" i="27"/>
  <c r="X231" i="27"/>
  <c r="X283" i="27"/>
  <c r="X94" i="27"/>
  <c r="X248" i="27"/>
  <c r="X144" i="27"/>
  <c r="X93" i="27"/>
  <c r="X2" i="27"/>
  <c r="X244" i="27"/>
  <c r="X299" i="27"/>
  <c r="X33" i="27"/>
  <c r="X282" i="27"/>
  <c r="X206" i="27"/>
  <c r="X187" i="27"/>
  <c r="X210" i="27"/>
  <c r="X243" i="27"/>
  <c r="X257" i="27"/>
  <c r="X138" i="27"/>
  <c r="X239" i="27"/>
  <c r="X41" i="27"/>
  <c r="X313" i="27"/>
  <c r="X79" i="27"/>
  <c r="X20" i="27"/>
  <c r="X38" i="27"/>
  <c r="X96" i="27"/>
  <c r="X250" i="27"/>
  <c r="X237" i="27"/>
  <c r="X15" i="27"/>
  <c r="X150" i="27"/>
  <c r="X46" i="27"/>
  <c r="X309" i="27"/>
  <c r="X284" i="27"/>
  <c r="X141" i="27"/>
  <c r="X74" i="27"/>
  <c r="X326" i="27"/>
  <c r="X88" i="27"/>
  <c r="X197" i="27"/>
  <c r="X143" i="27"/>
  <c r="X17" i="27"/>
  <c r="X80" i="27"/>
  <c r="X37" i="27"/>
  <c r="X259" i="27"/>
  <c r="X97" i="27"/>
  <c r="X101" i="27"/>
  <c r="X112" i="27"/>
  <c r="X99" i="27"/>
  <c r="X184" i="27"/>
  <c r="X331" i="27"/>
  <c r="X135" i="27"/>
  <c r="X123" i="27"/>
  <c r="X218" i="27"/>
  <c r="X113" i="27"/>
  <c r="X89" i="27"/>
  <c r="X318" i="27"/>
  <c r="X290" i="27"/>
  <c r="X45" i="27"/>
  <c r="X216" i="27"/>
  <c r="X278" i="27"/>
  <c r="X131" i="27"/>
  <c r="X254" i="27"/>
  <c r="X328" i="27"/>
  <c r="X268" i="27"/>
  <c r="X316" i="27"/>
  <c r="X285" i="27"/>
  <c r="X192" i="27"/>
  <c r="X277" i="27"/>
  <c r="X236" i="27"/>
  <c r="X27" i="27"/>
  <c r="X227" i="27"/>
  <c r="X286" i="27"/>
  <c r="X145" i="27"/>
  <c r="X139" i="27"/>
  <c r="X152" i="27"/>
  <c r="X34" i="27"/>
  <c r="X241" i="27"/>
  <c r="X270" i="27"/>
  <c r="X84" i="27"/>
  <c r="X110" i="27"/>
  <c r="X188" i="27"/>
  <c r="X314" i="27"/>
  <c r="X315" i="27"/>
  <c r="X298" i="27"/>
  <c r="X211" i="27"/>
  <c r="X213" i="27"/>
  <c r="X261" i="27"/>
  <c r="X191" i="27"/>
  <c r="X102" i="27"/>
  <c r="X287" i="27"/>
  <c r="X228" i="27"/>
  <c r="X44" i="27"/>
  <c r="X13" i="27"/>
  <c r="X119" i="27"/>
  <c r="X295" i="27"/>
  <c r="X321" i="27"/>
  <c r="X11" i="27"/>
  <c r="X307" i="27"/>
  <c r="X253" i="27"/>
  <c r="X271" i="27"/>
  <c r="X296" i="27"/>
  <c r="X319" i="27"/>
  <c r="X265" i="27"/>
  <c r="X332" i="27"/>
  <c r="X327" i="27"/>
  <c r="X189" i="27"/>
  <c r="X276" i="27"/>
  <c r="X330" i="27"/>
  <c r="X95" i="27"/>
  <c r="X24" i="27"/>
  <c r="X333" i="27"/>
  <c r="X129" i="27"/>
  <c r="X121" i="27"/>
  <c r="X234" i="27"/>
  <c r="X193" i="27"/>
  <c r="X294" i="27"/>
  <c r="X311" i="27"/>
  <c r="X10" i="27"/>
  <c r="X164" i="27"/>
  <c r="X103" i="27"/>
  <c r="X5" i="27"/>
  <c r="X9" i="27"/>
  <c r="X252" i="27"/>
  <c r="X304" i="27"/>
  <c r="X229" i="27"/>
  <c r="X137" i="27"/>
  <c r="X207" i="27"/>
  <c r="X114" i="27"/>
  <c r="X98" i="27"/>
  <c r="X312" i="27"/>
  <c r="X83" i="27"/>
  <c r="X325" i="27"/>
  <c r="X127" i="27"/>
  <c r="X147" i="27"/>
  <c r="X194" i="27"/>
  <c r="X240" i="27"/>
  <c r="X163" i="27"/>
  <c r="X289" i="27"/>
  <c r="X301" i="27"/>
  <c r="X235" i="27"/>
  <c r="X3" i="27"/>
  <c r="X149" i="27"/>
  <c r="X23" i="27"/>
  <c r="X22" i="27"/>
  <c r="X212" i="27"/>
  <c r="X264" i="27"/>
  <c r="X134" i="27"/>
  <c r="X272" i="27"/>
  <c r="X232" i="27"/>
  <c r="X267" i="27"/>
  <c r="X100" i="27"/>
  <c r="X86" i="27"/>
  <c r="X124" i="27"/>
  <c r="X329" i="27"/>
  <c r="X200" i="27"/>
  <c r="X151" i="27"/>
  <c r="X185" i="27"/>
  <c r="X132" i="27"/>
  <c r="X73" i="27"/>
  <c r="X310" i="27"/>
  <c r="X82" i="27"/>
  <c r="X167" i="27"/>
  <c r="X21" i="27"/>
  <c r="X334" i="27"/>
  <c r="X279" i="27"/>
  <c r="X111" i="27"/>
  <c r="X238" i="27"/>
  <c r="X47" i="27"/>
  <c r="X116" i="27"/>
  <c r="X280" i="27"/>
  <c r="X182" i="27"/>
  <c r="X166" i="27"/>
  <c r="X87" i="27"/>
  <c r="X205" i="27"/>
  <c r="X25" i="27"/>
  <c r="X256" i="27"/>
  <c r="X51" i="27"/>
  <c r="X178" i="27"/>
  <c r="X39" i="27"/>
  <c r="X258" i="27"/>
  <c r="X190" i="27"/>
  <c r="X297" i="27"/>
  <c r="X81" i="27"/>
  <c r="X90" i="27"/>
  <c r="X320" i="27"/>
  <c r="X247" i="27"/>
  <c r="X300" i="27"/>
  <c r="X230" i="27"/>
  <c r="X104" i="27"/>
  <c r="X181" i="27"/>
  <c r="X85" i="27"/>
  <c r="X322" i="27"/>
  <c r="X317" i="27"/>
  <c r="X136" i="27"/>
  <c r="X198" i="27"/>
  <c r="X293" i="27"/>
  <c r="X275" i="27"/>
  <c r="X50" i="27"/>
  <c r="X148" i="27"/>
  <c r="X128" i="27"/>
  <c r="X146" i="27"/>
  <c r="X140" i="27"/>
</calcChain>
</file>

<file path=xl/sharedStrings.xml><?xml version="1.0" encoding="utf-8"?>
<sst xmlns="http://schemas.openxmlformats.org/spreadsheetml/2006/main" count="2094" uniqueCount="599">
  <si>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</si>
  <si>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</si>
  <si>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</si>
  <si>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</si>
  <si>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</si>
  <si>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</si>
  <si>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</si>
  <si>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</si>
  <si>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</si>
  <si>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</si>
  <si>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</si>
  <si>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</si>
  <si>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</si>
  <si>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</si>
  <si>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</si>
  <si>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</si>
  <si>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</si>
  <si>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</si>
  <si>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</si>
  <si>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</si>
  <si>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</si>
  <si>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</si>
  <si>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</si>
  <si>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</si>
  <si>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</si>
  <si>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</si>
  <si>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</si>
  <si>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</si>
  <si>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</si>
  <si>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</si>
  <si>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</si>
  <si>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</si>
  <si>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</si>
  <si>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</si>
  <si>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</si>
  <si>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</si>
  <si>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</si>
  <si>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</si>
  <si>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</si>
  <si>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</si>
  <si>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active</t>
  </si>
  <si>
    <t>initials</t>
  </si>
  <si>
    <t>email</t>
  </si>
  <si>
    <t>smUserId</t>
  </si>
  <si>
    <t>Security Manager User ID</t>
  </si>
  <si>
    <t>guid</t>
  </si>
  <si>
    <t>smAuthorizationDirectory</t>
  </si>
  <si>
    <t>userRoles</t>
  </si>
  <si>
    <t>groupMemberships</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</si>
  <si>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</si>
  <si>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</si>
  <si>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</si>
  <si>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</si>
  <si>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</si>
  <si>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</si>
  <si>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</si>
  <si>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</si>
  <si>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</si>
  <si>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</si>
  <si>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</si>
  <si>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</si>
  <si>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</si>
  <si>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</si>
  <si>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</si>
  <si>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</si>
  <si>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</si>
  <si>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</si>
  <si>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</si>
  <si>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</si>
  <si>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</si>
  <si>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</si>
  <si>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</si>
  <si>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</si>
  <si>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</si>
  <si>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</si>
  <si>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</si>
  <si>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</si>
  <si>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</si>
  <si>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</si>
  <si>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</si>
  <si>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</si>
  <si>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</si>
  <si>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</si>
  <si>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</si>
  <si>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</si>
  <si>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</si>
  <si>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</si>
  <si>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</si>
  <si>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</si>
  <si>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</si>
  <si>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</si>
  <si>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</si>
  <si>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</si>
  <si>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</si>
  <si>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</si>
  <si>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</si>
  <si>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</si>
  <si>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</si>
  <si>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</si>
  <si>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</si>
  <si>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</si>
  <si>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</si>
  <si>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</si>
  <si>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</si>
  <si>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</si>
  <si>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</si>
  <si>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</si>
  <si>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</si>
  <si>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</si>
  <si>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</si>
  <si>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</si>
  <si>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</si>
  <si>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</si>
  <si>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</si>
  <si>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</si>
  <si>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</si>
  <si>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</si>
  <si>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</si>
  <si>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</si>
  <si>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</si>
  <si>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</si>
  <si>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</si>
  <si>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</si>
  <si>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</si>
  <si>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</si>
  <si>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</si>
  <si>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</si>
  <si>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</si>
  <si>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</si>
  <si>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</si>
  <si>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</si>
  <si>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</si>
  <si>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</si>
  <si>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</si>
  <si>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</si>
  <si>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</si>
  <si>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</si>
  <si>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</si>
  <si>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</si>
  <si>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</si>
  <si>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</si>
  <si>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</si>
  <si>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</si>
  <si>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</si>
  <si>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</si>
  <si>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</si>
  <si>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</si>
  <si>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</si>
  <si>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</si>
  <si>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</si>
  <si>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</si>
  <si>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</si>
  <si>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</si>
  <si>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</si>
  <si>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</si>
  <si>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</si>
  <si>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</si>
  <si>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</si>
  <si>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</si>
  <si>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</si>
  <si>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</si>
  <si>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</si>
  <si>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</si>
  <si>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</si>
  <si>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</si>
  <si>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</si>
  <si>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</si>
  <si>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</si>
  <si>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</si>
  <si>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</si>
  <si>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</si>
  <si>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</si>
  <si>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</si>
  <si>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</si>
  <si>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</si>
  <si>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</si>
  <si>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</si>
  <si>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</si>
  <si>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</si>
  <si>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</si>
  <si>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</si>
  <si>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</si>
  <si>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</si>
  <si>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</si>
  <si>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</si>
  <si>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</si>
  <si>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</si>
  <si>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</si>
  <si>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</si>
  <si>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</si>
  <si>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</si>
  <si>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</si>
  <si>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</si>
  <si>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</si>
  <si>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</si>
  <si>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</si>
  <si>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</si>
  <si>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</si>
  <si>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</si>
  <si>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</si>
  <si>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</si>
  <si>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</si>
  <si>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</si>
  <si>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</si>
  <si>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</si>
  <si>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</si>
  <si>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</si>
  <si>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</si>
  <si>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</si>
  <si>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</si>
  <si>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</si>
  <si>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</si>
  <si>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</si>
  <si>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</si>
  <si>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</si>
  <si>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</si>
  <si>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</si>
  <si>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</si>
  <si>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</si>
  <si>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</si>
  <si>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</si>
  <si>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</si>
  <si>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</si>
  <si>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</si>
  <si>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</si>
  <si>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</si>
  <si>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</si>
  <si>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</si>
  <si>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</si>
  <si>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</si>
  <si>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</si>
  <si>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</si>
  <si>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</si>
  <si>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</si>
  <si>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</si>
  <si>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</si>
  <si>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</si>
  <si>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</si>
  <si>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</si>
  <si>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</si>
  <si>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</si>
  <si>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</si>
  <si>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</si>
  <si>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</si>
  <si>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</si>
  <si>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</si>
  <si>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</si>
  <si>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</si>
  <si>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</si>
  <si>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</si>
  <si>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</si>
  <si>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</si>
  <si>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</si>
  <si>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</si>
  <si>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</si>
  <si>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</si>
  <si>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</si>
  <si>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</si>
  <si>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</si>
  <si>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</si>
  <si>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</si>
  <si>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</si>
  <si>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</si>
  <si>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</si>
  <si>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</si>
  <si>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</si>
  <si>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</si>
  <si>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</si>
  <si>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</si>
  <si>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</si>
  <si>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</si>
  <si>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</si>
  <si>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</si>
  <si>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</si>
  <si>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</si>
  <si>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</si>
  <si>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</si>
  <si>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</si>
  <si>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</si>
  <si>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</si>
  <si>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</si>
  <si>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</si>
  <si>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</si>
  <si>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</si>
  <si>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</si>
  <si>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</si>
  <si>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</si>
  <si>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</si>
  <si>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</si>
  <si>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</si>
  <si>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</si>
  <si>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</si>
  <si>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</si>
  <si>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</si>
  <si>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</si>
  <si>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</si>
  <si>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</si>
  <si>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</si>
  <si>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</si>
  <si>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</si>
  <si>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</si>
  <si>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</si>
  <si>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</si>
  <si>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</si>
  <si>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</si>
  <si>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</si>
  <si>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</si>
  <si>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</si>
  <si>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</si>
  <si>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</si>
  <si>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</si>
  <si>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</si>
  <si>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</si>
  <si>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</si>
  <si>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</si>
  <si>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</si>
  <si>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</si>
  <si>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</si>
  <si>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</si>
  <si>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</si>
  <si>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</si>
  <si>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</si>
  <si>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</si>
  <si>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</si>
  <si>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</si>
  <si>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</si>
  <si>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</si>
  <si>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</si>
  <si>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</si>
  <si>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</si>
  <si>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</si>
  <si>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</si>
  <si>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</si>
  <si>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</si>
  <si>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</si>
  <si>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</si>
  <si>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</si>
  <si>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</si>
  <si>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</si>
  <si>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</si>
  <si>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</si>
  <si>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</si>
  <si>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</si>
  <si>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</si>
  <si>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</si>
  <si>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</si>
  <si>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</si>
  <si>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</si>
  <si>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</si>
  <si>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</si>
  <si>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</si>
  <si>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</si>
  <si>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</si>
  <si>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</si>
  <si>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</si>
  <si>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</si>
  <si>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</si>
  <si>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</si>
  <si>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</si>
  <si>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</si>
  <si>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</si>
  <si>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</si>
  <si>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</si>
  <si>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</si>
  <si>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</si>
  <si>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</si>
  <si>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</si>
  <si>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</si>
  <si>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</si>
  <si>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</si>
  <si>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</si>
  <si>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</si>
  <si>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</si>
  <si>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</si>
  <si>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</si>
  <si>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</si>
  <si>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</si>
  <si>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</si>
  <si>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</si>
  <si>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</si>
  <si>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</si>
  <si>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</si>
  <si>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</si>
  <si>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</si>
  <si>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</si>
  <si>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</si>
  <si>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</si>
  <si>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</si>
  <si>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</si>
  <si>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</si>
  <si>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</si>
  <si>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</si>
  <si>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</si>
  <si>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</si>
  <si>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</si>
  <si>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</si>
  <si>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</si>
  <si>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</si>
  <si>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</si>
  <si>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</si>
  <si>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</si>
  <si>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</si>
  <si>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</si>
  <si>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</si>
  <si>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</si>
  <si>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</si>
  <si>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</si>
  <si>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</si>
  <si>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</si>
  <si>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</si>
  <si>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</si>
  <si>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</si>
  <si>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</si>
  <si>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</si>
  <si>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</si>
  <si>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</si>
  <si>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</si>
  <si>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</si>
  <si>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</si>
  <si>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</si>
  <si>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</si>
  <si>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</si>
  <si>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</si>
  <si>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</si>
  <si>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</si>
  <si>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</si>
  <si>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</si>
  <si>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</si>
  <si>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</si>
  <si>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</si>
  <si>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</si>
  <si>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</si>
  <si>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</si>
  <si>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</si>
  <si>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</si>
  <si>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</si>
  <si>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</si>
  <si>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</si>
  <si>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</si>
  <si>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</si>
  <si>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</si>
  <si>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</si>
  <si>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</si>
  <si>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</si>
  <si>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</si>
  <si>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</si>
  <si>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</si>
  <si>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</si>
  <si>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</si>
  <si>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</si>
  <si>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</si>
  <si>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</si>
  <si>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</si>
  <si>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</si>
  <si>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</si>
  <si>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</si>
  <si>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</si>
  <si>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</si>
  <si>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</si>
  <si>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</si>
  <si>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</si>
  <si>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</si>
  <si>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</si>
  <si>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</si>
  <si>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</si>
  <si>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</si>
  <si>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</si>
  <si>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</si>
  <si>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</si>
  <si>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</si>
  <si>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</si>
  <si>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</si>
  <si>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</si>
  <si>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</si>
  <si>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</si>
  <si>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</si>
  <si>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</si>
  <si>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</si>
  <si>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</si>
  <si>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</si>
  <si>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</si>
  <si>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</si>
  <si>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</si>
  <si>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</si>
  <si>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</si>
  <si>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</si>
  <si>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</si>
  <si>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</si>
  <si>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</si>
  <si>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</si>
  <si>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</si>
  <si>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</si>
  <si>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</si>
  <si>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</si>
  <si>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</si>
  <si>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</si>
  <si>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</si>
  <si>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</si>
  <si>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</si>
  <si>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</si>
  <si>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</si>
  <si>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</si>
  <si>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</si>
  <si>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</si>
  <si>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</si>
  <si>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</si>
  <si>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</si>
  <si>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</si>
  <si>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</si>
  <si>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</si>
  <si>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</si>
  <si>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</si>
  <si>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</si>
  <si>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</si>
  <si>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</si>
  <si>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</si>
  <si>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</si>
  <si>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</si>
  <si>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</si>
  <si>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</si>
  <si>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</si>
  <si>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</si>
  <si>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</si>
  <si>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</si>
  <si>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</si>
  <si>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</si>
  <si>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</si>
  <si>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</si>
  <si>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</si>
  <si>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</si>
  <si>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</si>
  <si>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</si>
  <si>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</si>
  <si>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</si>
  <si>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</si>
  <si>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</si>
  <si>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</si>
  <si>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</si>
  <si>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</si>
  <si>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</si>
  <si>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The seniority score of the piece of equipment that is the next to be asked in Block 1.</t>
  </si>
  <si>
    <t>askNextBlock1Seniority</t>
  </si>
  <si>
    <t>askNextBlock2Seniority</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</si>
  <si>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</si>
  <si>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</si>
  <si>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</si>
  <si>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</si>
  <si>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</si>
  <si>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</si>
  <si>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</si>
  <si>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</si>
  <si>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</si>
  <si>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</si>
  <si>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</si>
  <si>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</si>
  <si>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</si>
  <si>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</si>
  <si>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</si>
  <si>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</si>
  <si>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</si>
  <si>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</si>
  <si>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</si>
  <si>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</si>
  <si>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</si>
  <si>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</si>
  <si>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</si>
  <si>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</si>
  <si>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</si>
  <si>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</si>
  <si>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</si>
  <si>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</si>
  <si>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</si>
  <si>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</si>
  <si>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</si>
  <si>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</si>
  <si>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</si>
  <si>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</si>
  <si>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</si>
  <si>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</si>
  <si>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</si>
  <si>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</si>
  <si>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</si>
  <si>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</si>
  <si>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</si>
  <si>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</si>
  <si>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</si>
  <si>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</si>
  <si>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</si>
  <si>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</si>
  <si>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</si>
  <si>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</si>
  <si>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</si>
  <si>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</si>
  <si>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</si>
  <si>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</si>
  <si>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</si>
  <si>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The seniority score of the piece of equipment that is the next to be asked in Block 2.</t>
  </si>
  <si>
    <t>askNextBlockOpenSeniority</t>
  </si>
  <si>
    <t>The seniority score of the piece of equipment that is the next to be asked in Block 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</si>
</sst>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5" fillId="0" borderId="0"/>
  </cellStyleXfs>
  <cellXfs count="169">
    <xf numFmtId="0" fontId="0" fillId="0" borderId="0" xfId="0"/>
    <xf numFmtId="0" fontId="59" fillId="0" borderId="0" xfId="719" applyFont="1" applyAlignment="1">
      <alignment vertical="top"/>
    </xf>
    <xf numFmtId="0" fontId="59" fillId="0" borderId="0" xfId="719" applyFont="1" applyAlignment="1">
      <alignment vertical="top" wrapText="1"/>
    </xf>
    <xf numFmtId="0" fontId="55" fillId="0" borderId="0" xfId="719"/>
    <xf numFmtId="0" fontId="55" fillId="0" borderId="0" xfId="719" applyNumberFormat="1" applyAlignment="1">
      <alignment vertical="top"/>
    </xf>
    <xf numFmtId="0" fontId="55" fillId="0" borderId="0" xfId="719" applyAlignment="1">
      <alignment vertical="top"/>
    </xf>
    <xf numFmtId="0" fontId="55" fillId="0" borderId="0" xfId="719" applyAlignment="1">
      <alignment vertical="top" wrapText="1"/>
    </xf>
    <xf numFmtId="0" fontId="54" fillId="0" borderId="0" xfId="719" applyFont="1"/>
    <xf numFmtId="0" fontId="0" fillId="0" borderId="0" xfId="0" applyAlignment="1">
      <alignment vertical="top"/>
    </xf>
    <xf numFmtId="0" fontId="59" fillId="0" borderId="0" xfId="0" applyFont="1" applyAlignment="1">
      <alignment vertical="top"/>
    </xf>
    <xf numFmtId="0" fontId="53" fillId="0" borderId="0" xfId="719" applyFont="1"/>
    <xf numFmtId="0" fontId="53" fillId="0" borderId="0" xfId="719" applyFont="1" applyAlignment="1">
      <alignment vertical="top"/>
    </xf>
    <xf numFmtId="0" fontId="55" fillId="0" borderId="0" xfId="719" applyFill="1" applyAlignment="1">
      <alignment vertical="top" wrapText="1"/>
    </xf>
    <xf numFmtId="0" fontId="55" fillId="0" borderId="0" xfId="719" applyNumberFormat="1" applyFill="1"/>
    <xf numFmtId="0" fontId="0" fillId="0" borderId="0" xfId="0" applyNumberFormat="1" applyAlignment="1">
      <alignment vertical="top"/>
    </xf>
    <xf numFmtId="0" fontId="52" fillId="0" borderId="0" xfId="719" applyFont="1"/>
    <xf numFmtId="0" fontId="52" fillId="0" borderId="0" xfId="719" applyFont="1" applyFill="1"/>
    <xf numFmtId="0" fontId="55" fillId="0" borderId="0" xfId="719" applyFill="1"/>
    <xf numFmtId="0" fontId="55" fillId="0" borderId="0" xfId="719" applyNumberFormat="1" applyFill="1" applyAlignment="1">
      <alignment vertical="top"/>
    </xf>
    <xf numFmtId="0" fontId="50" fillId="0" borderId="0" xfId="719" applyFont="1" applyFill="1" applyAlignment="1">
      <alignment vertical="top"/>
    </xf>
    <xf numFmtId="0" fontId="49" fillId="0" borderId="0" xfId="719" applyFont="1"/>
    <xf numFmtId="0" fontId="49" fillId="0" borderId="0" xfId="719" applyFont="1" applyFill="1" applyAlignment="1">
      <alignment vertical="top"/>
    </xf>
    <xf numFmtId="0" fontId="49" fillId="0" borderId="0" xfId="719" applyFont="1" applyFill="1" applyAlignment="1">
      <alignment vertical="top" wrapText="1"/>
    </xf>
    <xf numFmtId="0" fontId="48" fillId="0" borderId="0" xfId="719" applyFont="1" applyFill="1" applyAlignment="1">
      <alignment vertical="top"/>
    </xf>
    <xf numFmtId="0" fontId="48" fillId="0" borderId="0" xfId="719" applyFont="1" applyFill="1" applyAlignment="1">
      <alignment vertical="top" wrapText="1"/>
    </xf>
    <xf numFmtId="0" fontId="48" fillId="0" borderId="0" xfId="719" applyNumberFormat="1" applyFont="1" applyFill="1" applyAlignment="1">
      <alignment vertical="top"/>
    </xf>
    <xf numFmtId="0" fontId="47" fillId="0" borderId="0" xfId="719" applyFont="1" applyFill="1" applyAlignment="1">
      <alignment vertical="top"/>
    </xf>
    <xf numFmtId="0" fontId="47" fillId="0" borderId="0" xfId="719" applyFont="1" applyFill="1" applyAlignment="1">
      <alignment vertical="top" wrapText="1"/>
    </xf>
    <xf numFmtId="0" fontId="46" fillId="0" borderId="0" xfId="719" applyFont="1" applyFill="1" applyAlignment="1">
      <alignment vertical="top"/>
    </xf>
    <xf numFmtId="0" fontId="46" fillId="0" borderId="0" xfId="719" applyFont="1" applyAlignment="1">
      <alignment vertical="top"/>
    </xf>
    <xf numFmtId="0" fontId="46" fillId="0" borderId="0" xfId="719" applyFont="1" applyFill="1"/>
    <xf numFmtId="0" fontId="45" fillId="0" borderId="0" xfId="719" applyFont="1" applyFill="1" applyAlignment="1">
      <alignment vertical="top"/>
    </xf>
    <xf numFmtId="0" fontId="42" fillId="0" borderId="0" xfId="719" applyFont="1" applyAlignment="1">
      <alignment vertical="top"/>
    </xf>
    <xf numFmtId="0" fontId="42" fillId="0" borderId="0" xfId="719" applyFont="1" applyFill="1"/>
    <xf numFmtId="0" fontId="42" fillId="0" borderId="0" xfId="719" applyNumberFormat="1" applyFont="1" applyAlignment="1">
      <alignment vertical="top"/>
    </xf>
    <xf numFmtId="0" fontId="40" fillId="0" borderId="0" xfId="719" applyFont="1" applyAlignment="1">
      <alignment vertical="top"/>
    </xf>
    <xf numFmtId="0" fontId="40" fillId="0" borderId="0" xfId="719" applyNumberFormat="1" applyFont="1" applyAlignment="1">
      <alignment vertical="top"/>
    </xf>
    <xf numFmtId="0" fontId="40" fillId="0" borderId="0" xfId="719" applyFont="1" applyFill="1"/>
    <xf numFmtId="0" fontId="39" fillId="0" borderId="0" xfId="719" applyFont="1" applyFill="1" applyAlignment="1">
      <alignment vertical="top"/>
    </xf>
    <xf numFmtId="0" fontId="39" fillId="0" borderId="0" xfId="719" applyFont="1" applyFill="1" applyAlignment="1">
      <alignment vertical="top" wrapText="1"/>
    </xf>
    <xf numFmtId="0" fontId="38" fillId="0" borderId="0" xfId="719" applyFont="1" applyFill="1" applyAlignment="1">
      <alignment vertical="top"/>
    </xf>
    <xf numFmtId="0" fontId="36" fillId="0" borderId="0" xfId="719" applyNumberFormat="1" applyFont="1" applyAlignment="1">
      <alignment vertical="top"/>
    </xf>
    <xf numFmtId="0" fontId="34" fillId="0" borderId="0" xfId="719" applyFont="1" applyAlignment="1">
      <alignment vertical="top"/>
    </xf>
    <xf numFmtId="0" fontId="34" fillId="0" borderId="0" xfId="719" applyFont="1" applyFill="1"/>
    <xf numFmtId="0" fontId="34" fillId="0" borderId="0" xfId="719" applyNumberFormat="1" applyFont="1" applyAlignment="1">
      <alignment vertical="top"/>
    </xf>
    <xf numFmtId="0" fontId="34" fillId="0" borderId="0" xfId="719" applyFont="1"/>
    <xf numFmtId="49" fontId="59" fillId="0" borderId="0" xfId="719" applyNumberFormat="1" applyFont="1" applyAlignment="1">
      <alignment vertical="top" wrapText="1"/>
    </xf>
    <xf numFmtId="49" fontId="55" fillId="0" borderId="0" xfId="719" applyNumberFormat="1" applyFill="1" applyAlignment="1">
      <alignment vertical="top" wrapText="1"/>
    </xf>
    <xf numFmtId="49" fontId="38"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35" fillId="0" borderId="0" xfId="719" applyNumberFormat="1" applyFont="1" applyFill="1" applyAlignment="1">
      <alignment vertical="top" wrapText="1"/>
    </xf>
    <xf numFmtId="49" fontId="50" fillId="0" borderId="0" xfId="719" applyNumberFormat="1" applyFont="1" applyFill="1" applyAlignment="1">
      <alignment vertical="top" wrapText="1"/>
    </xf>
    <xf numFmtId="49" fontId="39" fillId="0" borderId="0" xfId="719" applyNumberFormat="1" applyFont="1" applyAlignment="1">
      <alignment vertical="top" wrapText="1"/>
    </xf>
    <xf numFmtId="49" fontId="39" fillId="0" borderId="0" xfId="719" applyNumberFormat="1" applyFont="1" applyFill="1" applyAlignment="1">
      <alignment vertical="top" wrapText="1"/>
    </xf>
    <xf numFmtId="49" fontId="55" fillId="0" borderId="0" xfId="719" applyNumberFormat="1" applyAlignment="1">
      <alignment vertical="top" wrapText="1"/>
    </xf>
    <xf numFmtId="0" fontId="33" fillId="0" borderId="0" xfId="719" applyFont="1"/>
    <xf numFmtId="0" fontId="33" fillId="0" borderId="0" xfId="719" applyFont="1" applyFill="1"/>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49" fontId="31" fillId="0" borderId="0" xfId="719" applyNumberFormat="1" applyFont="1" applyFill="1" applyAlignment="1">
      <alignment vertical="top" wrapText="1"/>
    </xf>
    <xf numFmtId="0" fontId="31" fillId="0" borderId="0" xfId="719" applyFont="1" applyFill="1" applyAlignment="1">
      <alignment vertical="top"/>
    </xf>
    <xf numFmtId="0" fontId="31" fillId="0" borderId="0" xfId="719" applyFont="1" applyFill="1" applyAlignment="1">
      <alignment vertical="top" wrapText="1"/>
    </xf>
    <xf numFmtId="0" fontId="31" fillId="0" borderId="0" xfId="719" applyNumberFormat="1" applyFont="1" applyAlignment="1">
      <alignment vertical="top"/>
    </xf>
    <xf numFmtId="0" fontId="30" fillId="0" borderId="0" xfId="719" applyFont="1" applyFill="1" applyAlignment="1">
      <alignment vertical="top"/>
    </xf>
    <xf numFmtId="49" fontId="30" fillId="0" borderId="0" xfId="719" applyNumberFormat="1" applyFont="1" applyFill="1" applyAlignment="1">
      <alignment vertical="top" wrapText="1"/>
    </xf>
    <xf numFmtId="0" fontId="28" fillId="0" borderId="0" xfId="719" applyFont="1" applyFill="1" applyAlignment="1">
      <alignment vertical="top"/>
    </xf>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49" fontId="26" fillId="0" borderId="0" xfId="719" applyNumberFormat="1" applyFont="1" applyFill="1" applyAlignment="1">
      <alignment vertical="top" wrapText="1"/>
    </xf>
    <xf numFmtId="0" fontId="25" fillId="0" borderId="0" xfId="719" applyFont="1" applyFill="1" applyAlignment="1">
      <alignment vertical="top"/>
    </xf>
    <xf numFmtId="0" fontId="55" fillId="0" borderId="0" xfId="719" applyFill="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0" fontId="58" fillId="0" borderId="0" xfId="0" applyFont="1" applyAlignment="1">
      <alignment vertical="top"/>
    </xf>
    <xf numFmtId="49" fontId="31" fillId="0" borderId="0" xfId="719" applyNumberFormat="1" applyFont="1" applyAlignment="1">
      <alignment vertical="top" wrapText="1"/>
    </xf>
    <xf numFmtId="0" fontId="48" fillId="0" borderId="0" xfId="719" applyFont="1" applyAlignment="1">
      <alignment vertical="top"/>
    </xf>
    <xf numFmtId="0" fontId="38" fillId="0" borderId="0" xfId="719" applyFont="1" applyAlignment="1">
      <alignment vertical="top"/>
    </xf>
    <xf numFmtId="49" fontId="29" fillId="0" borderId="0" xfId="719" applyNumberFormat="1" applyFont="1" applyAlignment="1">
      <alignment vertical="top" wrapText="1"/>
    </xf>
    <xf numFmtId="0" fontId="31" fillId="0" borderId="0" xfId="719" applyFont="1" applyAlignment="1">
      <alignment vertical="top"/>
    </xf>
    <xf numFmtId="0" fontId="50" fillId="0" borderId="0" xfId="719" applyFont="1" applyAlignment="1">
      <alignment vertical="top"/>
    </xf>
    <xf numFmtId="0" fontId="49" fillId="0" borderId="0" xfId="719" applyFont="1" applyAlignment="1">
      <alignment vertical="top"/>
    </xf>
    <xf numFmtId="0" fontId="24" fillId="0" borderId="0" xfId="719" applyNumberFormat="1" applyFont="1" applyFill="1" applyAlignment="1">
      <alignment vertical="top"/>
    </xf>
    <xf numFmtId="0" fontId="24" fillId="0" borderId="0" xfId="719" applyFont="1" applyFill="1" applyAlignment="1">
      <alignment vertical="top" wrapText="1"/>
    </xf>
    <xf numFmtId="0" fontId="23" fillId="0" borderId="0" xfId="719" applyFont="1" applyFill="1" applyAlignment="1">
      <alignment vertical="top"/>
    </xf>
    <xf numFmtId="0" fontId="22" fillId="0" borderId="0" xfId="719" applyNumberFormat="1" applyFont="1" applyAlignment="1">
      <alignment vertical="top"/>
    </xf>
    <xf numFmtId="0" fontId="22" fillId="0" borderId="0" xfId="719" applyFont="1"/>
    <xf numFmtId="0" fontId="24" fillId="0" borderId="0" xfId="719" applyFont="1" applyAlignment="1">
      <alignment vertical="top"/>
    </xf>
    <xf numFmtId="49" fontId="24" fillId="0" borderId="0" xfId="719" applyNumberFormat="1" applyFont="1" applyAlignment="1">
      <alignment vertical="top" wrapText="1"/>
    </xf>
    <xf numFmtId="49" fontId="38" fillId="0" borderId="0" xfId="719" applyNumberFormat="1" applyFont="1" applyAlignment="1">
      <alignment horizontal="fill" vertical="top" wrapText="1"/>
    </xf>
    <xf numFmtId="0" fontId="47" fillId="0" borderId="0" xfId="719" applyFont="1" applyAlignment="1">
      <alignment vertical="top"/>
    </xf>
    <xf numFmtId="0" fontId="30" fillId="0" borderId="0" xfId="719" applyFont="1" applyAlignment="1">
      <alignment vertical="top"/>
    </xf>
    <xf numFmtId="49" fontId="38" fillId="0" borderId="0" xfId="719" applyNumberFormat="1" applyFont="1" applyAlignment="1">
      <alignment vertical="top" wrapText="1"/>
    </xf>
    <xf numFmtId="0" fontId="41" fillId="0" borderId="0" xfId="719" applyFont="1" applyAlignment="1">
      <alignment vertical="top"/>
    </xf>
    <xf numFmtId="0" fontId="37" fillId="0" borderId="0" xfId="719" applyFont="1" applyAlignment="1">
      <alignment vertical="top"/>
    </xf>
    <xf numFmtId="49" fontId="37" fillId="0" borderId="0" xfId="719" applyNumberFormat="1" applyFont="1" applyAlignment="1">
      <alignment vertical="top" wrapText="1"/>
    </xf>
    <xf numFmtId="0" fontId="26" fillId="0" borderId="0" xfId="719" applyFont="1" applyAlignment="1">
      <alignment vertical="top"/>
    </xf>
    <xf numFmtId="49" fontId="30" fillId="0" borderId="0" xfId="719" applyNumberFormat="1" applyFont="1" applyAlignment="1">
      <alignment vertical="top" wrapText="1"/>
    </xf>
    <xf numFmtId="49" fontId="28" fillId="0" borderId="0" xfId="719" applyNumberFormat="1" applyFont="1" applyAlignment="1">
      <alignment vertical="top" wrapText="1"/>
    </xf>
    <xf numFmtId="49" fontId="34" fillId="0" borderId="0" xfId="719" applyNumberFormat="1" applyFont="1" applyAlignment="1">
      <alignment vertical="top" wrapText="1"/>
    </xf>
    <xf numFmtId="49" fontId="36" fillId="0" borderId="0" xfId="719" applyNumberFormat="1" applyFont="1" applyAlignment="1">
      <alignment vertical="top" wrapText="1"/>
    </xf>
    <xf numFmtId="0" fontId="36" fillId="0" borderId="0" xfId="719" applyFont="1" applyAlignment="1">
      <alignment vertical="top"/>
    </xf>
    <xf numFmtId="49" fontId="48" fillId="0" borderId="0" xfId="719" applyNumberFormat="1" applyFont="1" applyAlignment="1">
      <alignment vertical="top" wrapText="1"/>
    </xf>
    <xf numFmtId="49" fontId="44" fillId="0" borderId="0" xfId="719" applyNumberFormat="1" applyFont="1" applyAlignment="1">
      <alignment vertical="top" wrapText="1"/>
    </xf>
    <xf numFmtId="49" fontId="50" fillId="0" borderId="0" xfId="719" applyNumberFormat="1" applyFont="1" applyAlignment="1">
      <alignment vertical="top" wrapText="1"/>
    </xf>
    <xf numFmtId="0" fontId="43" fillId="0" borderId="0" xfId="719" applyFont="1" applyAlignment="1">
      <alignment vertical="top"/>
    </xf>
    <xf numFmtId="49" fontId="43" fillId="0" borderId="0" xfId="719" applyNumberFormat="1" applyFont="1" applyAlignment="1">
      <alignment horizontal="fill" vertical="top" wrapText="1"/>
    </xf>
    <xf numFmtId="0" fontId="39" fillId="0" borderId="0" xfId="719" applyFont="1" applyAlignment="1">
      <alignment vertical="top"/>
    </xf>
    <xf numFmtId="0" fontId="51" fillId="0" borderId="0" xfId="719" applyFont="1" applyAlignment="1">
      <alignment vertical="top"/>
    </xf>
    <xf numFmtId="49" fontId="51" fillId="0" borderId="0" xfId="719" applyNumberFormat="1" applyFont="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49" fontId="21" fillId="0" borderId="0" xfId="719" applyNumberFormat="1" applyFont="1" applyAlignment="1">
      <alignment vertical="top" wrapText="1"/>
    </xf>
    <xf numFmtId="0" fontId="21" fillId="0" borderId="0" xfId="719" applyNumberFormat="1" applyFont="1" applyFill="1" applyAlignment="1">
      <alignment vertical="top"/>
    </xf>
    <xf numFmtId="0" fontId="21" fillId="0" borderId="0" xfId="719" applyFont="1" applyFill="1" applyAlignment="1">
      <alignment vertical="top" wrapText="1"/>
    </xf>
    <xf numFmtId="0" fontId="21" fillId="0" borderId="0" xfId="719" applyFont="1" applyAlignment="1">
      <alignment vertical="top"/>
    </xf>
    <xf numFmtId="0" fontId="20" fillId="0" borderId="0" xfId="719" applyFont="1"/>
    <xf numFmtId="0" fontId="55" fillId="0" borderId="0" xfId="719" applyAlignment="1"/>
    <xf numFmtId="0" fontId="20" fillId="0" borderId="0" xfId="719" applyNumberFormat="1" applyFont="1" applyAlignment="1">
      <alignment vertical="top"/>
    </xf>
    <xf numFmtId="0" fontId="20" fillId="0" borderId="0" xfId="719" applyFont="1" applyAlignment="1">
      <alignment vertical="top"/>
    </xf>
    <xf numFmtId="0" fontId="20" fillId="0" borderId="0" xfId="719" applyFont="1" applyAlignment="1"/>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NumberFormat="1" applyFont="1" applyFill="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5" fillId="0" borderId="0" xfId="719" applyFont="1" applyAlignment="1">
      <alignment vertical="top"/>
    </xf>
    <xf numFmtId="0" fontId="14" fillId="0" borderId="0" xfId="719" applyFont="1" applyAlignment="1">
      <alignment vertical="top"/>
    </xf>
    <xf numFmtId="49" fontId="14"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49" fontId="14" fillId="0" borderId="0" xfId="719" applyNumberFormat="1" applyFont="1" applyAlignment="1">
      <alignment vertical="top" wrapText="1"/>
    </xf>
    <xf numFmtId="0" fontId="14" fillId="0" borderId="0" xfId="719" applyFont="1"/>
    <xf numFmtId="0" fontId="14" fillId="0" borderId="0" xfId="719" applyNumberFormat="1" applyFont="1" applyAlignment="1">
      <alignment vertical="top"/>
    </xf>
    <xf numFmtId="0" fontId="13" fillId="0" borderId="0" xfId="719" applyFont="1" applyFill="1"/>
    <xf numFmtId="0" fontId="12" fillId="0" borderId="0" xfId="719" applyFont="1" applyFill="1" applyAlignment="1">
      <alignment vertical="top"/>
    </xf>
    <xf numFmtId="49" fontId="12" fillId="0" borderId="0" xfId="719" applyNumberFormat="1" applyFont="1" applyFill="1" applyAlignment="1">
      <alignment vertical="top" wrapText="1"/>
    </xf>
    <xf numFmtId="0" fontId="12" fillId="0" borderId="0" xfId="719" applyFont="1" applyAlignment="1"/>
    <xf numFmtId="0" fontId="12" fillId="0" borderId="0" xfId="719" applyNumberFormat="1" applyFont="1" applyFill="1" applyAlignment="1">
      <alignment vertical="top"/>
    </xf>
    <xf numFmtId="0" fontId="11" fillId="0" borderId="0" xfId="719" applyFont="1"/>
    <xf numFmtId="0" fontId="10" fillId="0" borderId="0" xfId="719" applyFont="1" applyFill="1" applyAlignment="1">
      <alignment vertical="top"/>
    </xf>
    <xf numFmtId="0" fontId="9" fillId="0" borderId="0" xfId="719" applyFont="1" applyFill="1" applyAlignment="1">
      <alignment vertical="top"/>
    </xf>
    <xf numFmtId="0" fontId="8" fillId="0" borderId="0" xfId="719" applyFont="1"/>
    <xf numFmtId="0" fontId="8" fillId="0" borderId="0" xfId="719" applyFont="1" applyFill="1" applyAlignment="1">
      <alignment vertical="top"/>
    </xf>
    <xf numFmtId="0" fontId="7" fillId="0" borderId="0" xfId="719" applyNumberFormat="1" applyFont="1" applyFill="1" applyAlignment="1">
      <alignment vertical="top"/>
    </xf>
    <xf numFmtId="0" fontId="7" fillId="0" borderId="0" xfId="719" applyNumberFormat="1" applyFont="1" applyAlignment="1">
      <alignment vertical="top"/>
    </xf>
    <xf numFmtId="49" fontId="7" fillId="0" borderId="0" xfId="719" applyNumberFormat="1" applyFont="1" applyFill="1" applyAlignment="1">
      <alignment vertical="top" wrapText="1"/>
    </xf>
    <xf numFmtId="0" fontId="6" fillId="0" borderId="0" xfId="719" applyFont="1" applyAlignment="1">
      <alignment vertical="top"/>
    </xf>
    <xf numFmtId="0" fontId="5" fillId="0" borderId="0" xfId="719" applyFont="1" applyFill="1" applyAlignment="1">
      <alignment vertical="top"/>
    </xf>
    <xf numFmtId="0" fontId="5" fillId="0" borderId="0" xfId="719" applyFont="1" applyAlignment="1">
      <alignment vertical="top"/>
    </xf>
    <xf numFmtId="0" fontId="4" fillId="0" borderId="0" xfId="719" applyFont="1" applyAlignment="1">
      <alignment vertical="top"/>
    </xf>
    <xf numFmtId="0" fontId="3" fillId="0" borderId="0" xfId="719" applyFont="1" applyFill="1" applyAlignment="1">
      <alignment vertical="top"/>
    </xf>
    <xf numFmtId="0" fontId="3"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49" fontId="3" fillId="0" borderId="0" xfId="719" applyNumberFormat="1" applyFont="1" applyFill="1" applyAlignment="1">
      <alignment vertical="top" wrapText="1"/>
    </xf>
    <xf numFmtId="0" fontId="3" fillId="0" borderId="0" xfId="719" applyNumberFormat="1" applyFont="1" applyFill="1" applyAlignment="1">
      <alignment vertical="top"/>
    </xf>
    <xf numFmtId="49" fontId="2" fillId="0" borderId="0" xfId="719" applyNumberFormat="1" applyFont="1" applyFill="1" applyAlignment="1">
      <alignment vertical="top" wrapText="1"/>
    </xf>
    <xf numFmtId="0" fontId="2" fillId="0" borderId="0" xfId="719" applyFont="1" applyFill="1" applyAlignment="1">
      <alignment vertical="top"/>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1" totalsRowCount="1" headerRowDxfId="75" dataDxfId="74" totalsRowDxfId="73">
  <autoFilter ref="A1:Y340"/>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1"/>
  <sheetViews>
    <sheetView tabSelected="1" zoomScale="90" zoomScaleNormal="90" workbookViewId="0">
      <pane ySplit="1" topLeftCell="A2" activePane="bottomLeft" state="frozen"/>
      <selection pane="bottomLeft" activeCell="A2" sqref="A2"/>
    </sheetView>
  </sheetViews>
  <sheetFormatPr defaultColWidth="8.7265625" defaultRowHeight="16.100000000000001" x14ac:dyDescent="0.35"/>
  <cols>
    <col min="1" max="1" width="29.6328125" style="5" customWidth="1"/>
    <col min="2" max="2" width="8.7265625" style="5"/>
    <col min="3" max="3" width="8.08984375" style="5" customWidth="1"/>
    <col min="4" max="4" width="33.453125" style="6" customWidth="1"/>
    <col min="5" max="5" width="71.1796875" style="54" customWidth="1"/>
    <col min="6" max="6" width="24.1796875" style="5" customWidth="1"/>
    <col min="7" max="8" width="12.1796875" style="5" customWidth="1"/>
    <col min="9" max="9" width="9.7265625" style="5" customWidth="1"/>
    <col min="10" max="11" width="11.453125" style="5" customWidth="1"/>
    <col min="12" max="12" width="10.6328125" style="5" customWidth="1"/>
    <col min="13" max="22" width="8.7265625" style="5" customWidth="1"/>
    <col min="23" max="23" width="22.90625" style="5" customWidth="1"/>
    <col min="24" max="24" width="8.7265625" style="8" customWidth="1"/>
    <col min="25" max="25" width="36.81640625" style="8" customWidth="1"/>
    <col min="26" max="16384" width="8.7265625" style="5"/>
  </cols>
  <sheetData>
    <row r="1" spans="1:25" s="1" customFormat="1" x14ac:dyDescent="0.35">
      <c r="A1" s="1" t="s">
        <v>87</v>
      </c>
      <c r="B1" s="1" t="s">
        <v>88</v>
      </c>
      <c r="C1" s="1" t="s">
        <v>89</v>
      </c>
      <c r="D1" s="1" t="s">
        <v>90</v>
      </c>
      <c r="E1" s="46" t="s">
        <v>86</v>
      </c>
      <c r="F1" s="2" t="s">
        <v>91</v>
      </c>
      <c r="G1" s="1" t="s">
        <v>65</v>
      </c>
      <c r="H1" s="1" t="s">
        <v>345</v>
      </c>
      <c r="I1" s="75" t="s">
        <v>63</v>
      </c>
      <c r="J1" s="9" t="s">
        <v>9</v>
      </c>
      <c r="K1" s="9" t="s">
        <v>157</v>
      </c>
      <c r="L1" s="9" t="s">
        <v>12</v>
      </c>
      <c r="M1" s="9" t="s">
        <v>6</v>
      </c>
      <c r="N1" s="9" t="s">
        <v>13</v>
      </c>
      <c r="O1" s="9" t="s">
        <v>106</v>
      </c>
      <c r="P1" s="9" t="s">
        <v>19</v>
      </c>
      <c r="Q1" s="9" t="s">
        <v>8</v>
      </c>
      <c r="R1" s="9" t="s">
        <v>7</v>
      </c>
      <c r="S1" s="9" t="s">
        <v>4</v>
      </c>
      <c r="T1" s="9" t="s">
        <v>2</v>
      </c>
      <c r="U1" s="9" t="s">
        <v>3</v>
      </c>
      <c r="V1" s="9" t="s">
        <v>1</v>
      </c>
      <c r="W1" s="9" t="s">
        <v>92</v>
      </c>
      <c r="X1" s="9" t="s">
        <v>64</v>
      </c>
      <c r="Y1" s="9" t="s">
        <v>346</v>
      </c>
    </row>
    <row r="2" spans="1:25" ht="28.8" x14ac:dyDescent="0.35">
      <c r="A2" s="5" t="s">
        <v>134</v>
      </c>
      <c r="B2" s="5" t="s">
        <v>4</v>
      </c>
      <c r="D2" s="5" t="s">
        <v>134</v>
      </c>
      <c r="E2" s="76" t="s">
        <v>372</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5">
      <c r="A3" s="5" t="s">
        <v>134</v>
      </c>
      <c r="B3" s="5" t="s">
        <v>6</v>
      </c>
      <c r="D3" s="5" t="s">
        <v>6</v>
      </c>
      <c r="E3" s="54" t="s">
        <v>215</v>
      </c>
      <c r="F3" s="5" t="s">
        <v>5</v>
      </c>
      <c r="G3" s="4" t="s">
        <v>60</v>
      </c>
      <c r="H3" s="155" t="s">
        <v>60</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5">
      <c r="A4" s="5" t="s">
        <v>134</v>
      </c>
      <c r="B4" s="5" t="s">
        <v>8</v>
      </c>
      <c r="D4" s="137" t="s">
        <v>37</v>
      </c>
      <c r="E4" s="141" t="s">
        <v>564</v>
      </c>
      <c r="F4" s="137" t="s">
        <v>32</v>
      </c>
      <c r="G4" s="155" t="s">
        <v>60</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5">
      <c r="A5" s="5" t="s">
        <v>134</v>
      </c>
      <c r="B5" s="5" t="s">
        <v>7</v>
      </c>
      <c r="C5" s="5">
        <v>150</v>
      </c>
      <c r="D5" s="78" t="s">
        <v>213</v>
      </c>
      <c r="E5" s="79" t="s">
        <v>420</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5">
      <c r="A6" s="61" t="s">
        <v>134</v>
      </c>
      <c r="B6" s="61" t="s">
        <v>7</v>
      </c>
      <c r="C6" s="72">
        <v>100</v>
      </c>
      <c r="D6" s="85" t="s">
        <v>15</v>
      </c>
      <c r="E6" s="60" t="s">
        <v>373</v>
      </c>
      <c r="F6" s="12"/>
      <c r="G6" s="154" t="s">
        <v>60</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5">
      <c r="A7" s="127" t="s">
        <v>134</v>
      </c>
      <c r="B7" s="127" t="s">
        <v>7</v>
      </c>
      <c r="C7" s="72">
        <v>50</v>
      </c>
      <c r="D7" s="127" t="s">
        <v>226</v>
      </c>
      <c r="E7" s="128" t="s">
        <v>528</v>
      </c>
      <c r="F7" s="12"/>
      <c r="G7" s="154" t="s">
        <v>60</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5">
      <c r="A8" s="5" t="s">
        <v>134</v>
      </c>
      <c r="B8" s="5" t="s">
        <v>7</v>
      </c>
      <c r="C8" s="5">
        <v>2048</v>
      </c>
      <c r="D8" s="80" t="s">
        <v>386</v>
      </c>
      <c r="E8" s="76" t="s">
        <v>387</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ht="28.8" x14ac:dyDescent="0.35">
      <c r="A9" s="5" t="s">
        <v>134</v>
      </c>
      <c r="B9" s="23" t="s">
        <v>8</v>
      </c>
      <c r="C9" s="72"/>
      <c r="D9" s="23" t="s">
        <v>188</v>
      </c>
      <c r="E9" s="48" t="s">
        <v>212</v>
      </c>
      <c r="F9" s="24" t="s">
        <v>170</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5">
      <c r="A10" s="5" t="s">
        <v>134</v>
      </c>
      <c r="B10" s="23" t="s">
        <v>19</v>
      </c>
      <c r="C10" s="72"/>
      <c r="D10" s="23" t="s">
        <v>174</v>
      </c>
      <c r="E10" s="47"/>
      <c r="F10" s="24" t="s">
        <v>170</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x14ac:dyDescent="0.35">
      <c r="A11" s="5" t="s">
        <v>134</v>
      </c>
      <c r="B11" s="21" t="s">
        <v>19</v>
      </c>
      <c r="C11" s="72"/>
      <c r="D11" s="21" t="s">
        <v>162</v>
      </c>
      <c r="E11" s="47"/>
      <c r="F11" s="22" t="s">
        <v>144</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5">
      <c r="A12" s="5" t="s">
        <v>134</v>
      </c>
      <c r="B12" s="21" t="s">
        <v>19</v>
      </c>
      <c r="C12" s="72"/>
      <c r="D12" s="158" t="s">
        <v>173</v>
      </c>
      <c r="E12" s="47"/>
      <c r="F12" s="81" t="s">
        <v>156</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5">
      <c r="A13" s="5" t="s">
        <v>134</v>
      </c>
      <c r="B13" s="21" t="s">
        <v>19</v>
      </c>
      <c r="C13" s="72"/>
      <c r="D13" s="21" t="s">
        <v>175</v>
      </c>
      <c r="E13" s="47"/>
      <c r="F13" s="82" t="s">
        <v>158</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ht="28.8" x14ac:dyDescent="0.35">
      <c r="A14" s="66" t="s">
        <v>423</v>
      </c>
      <c r="B14" s="5" t="s">
        <v>4</v>
      </c>
      <c r="D14" s="66" t="s">
        <v>423</v>
      </c>
      <c r="E14" s="60" t="s">
        <v>357</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 { 'req': 'project' }, { 'req': 'localArea' }, { 'req': 'status' }, { 'req': 'districtEquipmentType' }, { 'req': 'equipmentCount'} ]</v>
      </c>
      <c r="Y14" s="4" t="str">
        <f>IF(LEN(Table2[[#This Row],[!Unique]])&gt;0,IF(Table2[[#This Row],[!Type]] = "id", "rg:None","rg:True"),"rg:None")</f>
        <v>rg:None</v>
      </c>
    </row>
    <row r="15" spans="1:25" x14ac:dyDescent="0.35">
      <c r="A15" s="66" t="s">
        <v>423</v>
      </c>
      <c r="B15" s="23" t="s">
        <v>6</v>
      </c>
      <c r="C15" s="72"/>
      <c r="D15" s="23" t="s">
        <v>6</v>
      </c>
      <c r="E15" s="54" t="s">
        <v>214</v>
      </c>
      <c r="F15" s="12"/>
      <c r="G15" s="25" t="s">
        <v>60</v>
      </c>
      <c r="H15" s="154" t="s">
        <v>60</v>
      </c>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 { 'req': 'project' }, { 'req': 'localArea' }, { 'req': 'status' }, { 'req': 'districtEquipmentType' }, { 'req': 'equipmentCount'} ]</v>
      </c>
      <c r="Y15" s="4" t="str">
        <f>IF(LEN(Table2[[#This Row],[!Unique]])&gt;0,IF(Table2[[#This Row],[!Type]] = "id", "rg:None","rg:True"),"rg:None")</f>
        <v>rg:None</v>
      </c>
    </row>
    <row r="16" spans="1:25" x14ac:dyDescent="0.35">
      <c r="A16" s="66" t="s">
        <v>423</v>
      </c>
      <c r="B16" s="23" t="s">
        <v>8</v>
      </c>
      <c r="C16" s="72"/>
      <c r="D16" s="23" t="s">
        <v>147</v>
      </c>
      <c r="E16" s="47"/>
      <c r="F16" s="24" t="s">
        <v>134</v>
      </c>
      <c r="G16" s="154" t="s">
        <v>60</v>
      </c>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5">
      <c r="A17" s="66" t="s">
        <v>423</v>
      </c>
      <c r="B17" s="26" t="s">
        <v>8</v>
      </c>
      <c r="C17" s="72"/>
      <c r="D17" s="26" t="s">
        <v>171</v>
      </c>
      <c r="E17" s="129" t="s">
        <v>529</v>
      </c>
      <c r="F17" s="27" t="s">
        <v>149</v>
      </c>
      <c r="G17" s="154" t="s">
        <v>60</v>
      </c>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A foreign key reference to the system-generated unique identifier for a Local Area</v>
      </c>
      <c r="W17" s="4" t="str">
        <f>IF(LEN(Table2[[#This Row],[!FK]])&gt;0,Table2[[#This Row],[!FK]],"rg:None")</f>
        <v>LocalArea</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5">
      <c r="A18" s="73" t="s">
        <v>423</v>
      </c>
      <c r="B18" s="73" t="s">
        <v>7</v>
      </c>
      <c r="C18" s="72">
        <v>50</v>
      </c>
      <c r="D18" s="73" t="s">
        <v>226</v>
      </c>
      <c r="E18" s="74" t="s">
        <v>438</v>
      </c>
      <c r="F18" s="12"/>
      <c r="G18" s="154" t="s">
        <v>60</v>
      </c>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5">
      <c r="A19" s="66" t="s">
        <v>423</v>
      </c>
      <c r="B19" s="26" t="s">
        <v>8</v>
      </c>
      <c r="C19" s="72"/>
      <c r="D19" s="137" t="s">
        <v>563</v>
      </c>
      <c r="E19" s="130" t="s">
        <v>530</v>
      </c>
      <c r="F19" s="137" t="s">
        <v>557</v>
      </c>
      <c r="G19" s="154" t="s">
        <v>60</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districtEquipmentType</v>
      </c>
      <c r="V19" s="4" t="str">
        <f>IF(LEN(Table2[[#This Row],[!Description]]) &gt; 0, Table2[[#This Row],[!Description]], "rg:None")</f>
        <v>A foreign key reference to the system-generated unique identifier for an Equipment Type</v>
      </c>
      <c r="W19" s="4" t="str">
        <f>IF(LEN(Table2[[#This Row],[!FK]])&gt;0,Table2[[#This Row],[!FK]],"rg:None")</f>
        <v>DistrictEquipmentType</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5">
      <c r="A20" s="66" t="s">
        <v>423</v>
      </c>
      <c r="B20" s="26" t="s">
        <v>13</v>
      </c>
      <c r="C20" s="72"/>
      <c r="D20" s="26" t="s">
        <v>190</v>
      </c>
      <c r="E20" s="60" t="s">
        <v>377</v>
      </c>
      <c r="F20" s="12"/>
      <c r="G20" s="154" t="s">
        <v>60</v>
      </c>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ht="28.8" x14ac:dyDescent="0.35">
      <c r="A21" s="66" t="s">
        <v>423</v>
      </c>
      <c r="B21" s="26" t="s">
        <v>13</v>
      </c>
      <c r="C21" s="72"/>
      <c r="D21" s="26" t="s">
        <v>191</v>
      </c>
      <c r="E21" s="49" t="s">
        <v>255</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ht="28.8" x14ac:dyDescent="0.35">
      <c r="A22" s="66" t="s">
        <v>423</v>
      </c>
      <c r="B22" s="26" t="s">
        <v>12</v>
      </c>
      <c r="C22" s="72"/>
      <c r="D22" s="26" t="s">
        <v>192</v>
      </c>
      <c r="E22" s="49" t="s">
        <v>254</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5">
      <c r="A23" s="66" t="s">
        <v>423</v>
      </c>
      <c r="B23" s="26" t="s">
        <v>12</v>
      </c>
      <c r="C23" s="72"/>
      <c r="D23" s="26" t="s">
        <v>193</v>
      </c>
      <c r="E23" s="49" t="s">
        <v>253</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x14ac:dyDescent="0.35">
      <c r="A24" s="66" t="s">
        <v>423</v>
      </c>
      <c r="B24" s="61" t="s">
        <v>8</v>
      </c>
      <c r="C24" s="72"/>
      <c r="D24" s="61" t="s">
        <v>378</v>
      </c>
      <c r="E24" s="60" t="s">
        <v>379</v>
      </c>
      <c r="F24" s="62" t="s">
        <v>177</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x14ac:dyDescent="0.35">
      <c r="A25" s="66" t="s">
        <v>423</v>
      </c>
      <c r="B25" s="21" t="s">
        <v>19</v>
      </c>
      <c r="C25" s="72"/>
      <c r="D25" s="21" t="s">
        <v>162</v>
      </c>
      <c r="E25" s="47"/>
      <c r="F25" s="22" t="s">
        <v>144</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5">
      <c r="A26" s="158" t="s">
        <v>423</v>
      </c>
      <c r="B26" s="21" t="s">
        <v>19</v>
      </c>
      <c r="C26" s="72"/>
      <c r="D26" s="159" t="s">
        <v>173</v>
      </c>
      <c r="E26" s="47"/>
      <c r="F26" s="81" t="s">
        <v>156</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5">
      <c r="A27" s="66" t="s">
        <v>423</v>
      </c>
      <c r="B27" s="21" t="s">
        <v>19</v>
      </c>
      <c r="C27" s="72"/>
      <c r="D27" s="21" t="s">
        <v>175</v>
      </c>
      <c r="E27" s="47"/>
      <c r="F27" s="82" t="s">
        <v>158</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5">
      <c r="A28" s="66" t="s">
        <v>423</v>
      </c>
      <c r="B28" s="64" t="s">
        <v>19</v>
      </c>
      <c r="C28" s="72"/>
      <c r="D28" s="66" t="s">
        <v>425</v>
      </c>
      <c r="E28" s="47"/>
      <c r="F28" s="66" t="s">
        <v>424</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5">
      <c r="A29" s="73" t="s">
        <v>440</v>
      </c>
      <c r="B29" s="73" t="s">
        <v>4</v>
      </c>
      <c r="C29" s="72"/>
      <c r="D29" s="73" t="s">
        <v>440</v>
      </c>
      <c r="E29" s="74" t="s">
        <v>441</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'rentalRequest' }, { 'req': 'attachment'} ]</v>
      </c>
      <c r="Y29" s="4" t="str">
        <f>IF(LEN(Table2[[#This Row],[!Unique]])&gt;0,IF(Table2[[#This Row],[!Type]] = "id", "rg:None","rg:True"),"rg:None")</f>
        <v>rg:None</v>
      </c>
    </row>
    <row r="30" spans="1:25" x14ac:dyDescent="0.35">
      <c r="A30" s="73" t="s">
        <v>440</v>
      </c>
      <c r="B30" s="73" t="s">
        <v>6</v>
      </c>
      <c r="C30" s="72"/>
      <c r="D30" s="73" t="s">
        <v>6</v>
      </c>
      <c r="E30" s="89" t="s">
        <v>442</v>
      </c>
      <c r="F30" s="12"/>
      <c r="G30" s="83" t="s">
        <v>60</v>
      </c>
      <c r="H30" s="154" t="s">
        <v>60</v>
      </c>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'rentalRequest' }, { 'req': 'attachment'} ]</v>
      </c>
      <c r="Y30" s="4" t="str">
        <f>IF(LEN(Table2[[#This Row],[!Unique]])&gt;0,IF(Table2[[#This Row],[!Type]] = "id", "rg:None","rg:True"),"rg:None")</f>
        <v>rg:None</v>
      </c>
    </row>
    <row r="31" spans="1:25" x14ac:dyDescent="0.35">
      <c r="A31" s="73" t="s">
        <v>440</v>
      </c>
      <c r="B31" s="73" t="s">
        <v>8</v>
      </c>
      <c r="C31" s="72"/>
      <c r="D31" s="73" t="s">
        <v>426</v>
      </c>
      <c r="E31" s="129" t="s">
        <v>531</v>
      </c>
      <c r="F31" s="84" t="s">
        <v>423</v>
      </c>
      <c r="G31" s="154" t="s">
        <v>60</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A foreign key reference to the system-generated unique identifier for a Rental Request</v>
      </c>
      <c r="W31" s="4" t="str">
        <f>IF(LEN(Table2[[#This Row],[!FK]])&gt;0,Table2[[#This Row],[!FK]],"rg:None")</f>
        <v>RentalRequest</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5">
      <c r="A32" s="73" t="s">
        <v>440</v>
      </c>
      <c r="B32" s="73" t="s">
        <v>7</v>
      </c>
      <c r="C32" s="72">
        <v>150</v>
      </c>
      <c r="D32" s="73" t="s">
        <v>209</v>
      </c>
      <c r="E32" s="74" t="s">
        <v>443</v>
      </c>
      <c r="F32" s="12"/>
      <c r="G32" s="83" t="s">
        <v>60</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ht="57.6" x14ac:dyDescent="0.35">
      <c r="A33" s="66" t="s">
        <v>424</v>
      </c>
      <c r="B33" s="26" t="s">
        <v>4</v>
      </c>
      <c r="C33" s="72"/>
      <c r="D33" s="66" t="s">
        <v>424</v>
      </c>
      <c r="E33" s="60" t="s">
        <v>380</v>
      </c>
      <c r="F33" s="27"/>
      <c r="G33" s="18"/>
      <c r="H33" s="18"/>
      <c r="I33" s="4" t="str">
        <f t="shared" ref="I33:I39"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 { 'req': 'rotationListSortOrder' }, { 'req': 'equipment'} ]</v>
      </c>
      <c r="Y33" s="4" t="str">
        <f>IF(LEN(Table2[[#This Row],[!Unique]])&gt;0,IF(Table2[[#This Row],[!Type]] = "id", "rg:None","rg:True"),"rg:None")</f>
        <v>rg:None</v>
      </c>
    </row>
    <row r="34" spans="1:25" x14ac:dyDescent="0.35">
      <c r="A34" s="66" t="s">
        <v>424</v>
      </c>
      <c r="B34" s="23" t="s">
        <v>6</v>
      </c>
      <c r="C34" s="72"/>
      <c r="D34" s="23" t="s">
        <v>6</v>
      </c>
      <c r="E34" s="76" t="s">
        <v>381</v>
      </c>
      <c r="F34" s="12"/>
      <c r="G34" s="25" t="s">
        <v>60</v>
      </c>
      <c r="H34" s="154" t="s">
        <v>60</v>
      </c>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 { 'req': 'rotationListSortOrder' }, { 'req': 'equipment'} ]</v>
      </c>
      <c r="Y34" s="4" t="str">
        <f>IF(LEN(Table2[[#This Row],[!Unique]])&gt;0,IF(Table2[[#This Row],[!Type]] = "id", "rg:None","rg:True"),"rg:None")</f>
        <v>rg:None</v>
      </c>
    </row>
    <row r="35" spans="1:25" ht="28.8" x14ac:dyDescent="0.35">
      <c r="A35" s="66" t="s">
        <v>424</v>
      </c>
      <c r="B35" s="61" t="s">
        <v>13</v>
      </c>
      <c r="C35" s="72"/>
      <c r="D35" s="64" t="s">
        <v>416</v>
      </c>
      <c r="E35" s="156" t="s">
        <v>585</v>
      </c>
      <c r="F35" s="12"/>
      <c r="G35" s="154" t="s">
        <v>60</v>
      </c>
      <c r="H35" s="18"/>
      <c r="I35" s="4" t="str">
        <f>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rotationListSortOrder</v>
      </c>
      <c r="V35" s="4" t="str">
        <f>IF(LEN(Table2[[#This Row],[!Description]]) &gt; 0, Table2[[#This Row],[!Description]], "rg:None")</f>
        <v>The sort order of the piece of equipment on the rotation list at the time the request was created. This is the order the equipment will be offered the available work.</v>
      </c>
      <c r="W35" s="4" t="str">
        <f>IF(LEN(Table2[[#This Row],[!FK]])&gt;0,Table2[[#This Row],[!FK]],"rg:None")</f>
        <v>rg:None</v>
      </c>
      <c r="X35" s="14" t="str">
        <f>IF(LEN(concatif2(A:A,Table2[[#This Row],[!Table]],G:G,"Y",D:D,",")) &gt; 0,"rg:[ { 'req' : '"&amp;concatif2(A:A,Table2[[#This Row],[!Table]],G:G,"Y",D:D,"' }, { 'req': '")&amp;"'} ]","rg:[]")</f>
        <v>rg:[ { 'req' : 'id' }, { 'req': 'rotationListSortOrder' }, { 'req': 'equipment'} ]</v>
      </c>
      <c r="Y35" s="4" t="str">
        <f>IF(LEN(Table2[[#This Row],[!Unique]])&gt;0,IF(Table2[[#This Row],[!Type]] = "id", "rg:None","rg:True"),"rg:None")</f>
        <v>rg:None</v>
      </c>
    </row>
    <row r="36" spans="1:25" x14ac:dyDescent="0.35">
      <c r="A36" s="66" t="s">
        <v>424</v>
      </c>
      <c r="B36" s="26" t="s">
        <v>8</v>
      </c>
      <c r="C36" s="72"/>
      <c r="D36" s="26" t="s">
        <v>176</v>
      </c>
      <c r="E36" s="47"/>
      <c r="F36" s="27" t="s">
        <v>177</v>
      </c>
      <c r="G36" s="154" t="s">
        <v>60</v>
      </c>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equipment</v>
      </c>
      <c r="V36" s="4" t="str">
        <f>IF(LEN(Table2[[#This Row],[!Description]]) &gt; 0, Table2[[#This Row],[!Description]], "rg:None")</f>
        <v>rg:None</v>
      </c>
      <c r="W36" s="4" t="str">
        <f>IF(LEN(Table2[[#This Row],[!FK]])&gt;0,Table2[[#This Row],[!FK]],"rg:None")</f>
        <v>Equipment</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5">
      <c r="A37" s="66" t="s">
        <v>424</v>
      </c>
      <c r="B37" s="26" t="s">
        <v>8</v>
      </c>
      <c r="C37" s="72"/>
      <c r="D37" s="26" t="s">
        <v>196</v>
      </c>
      <c r="E37" s="60" t="s">
        <v>382</v>
      </c>
      <c r="F37" s="26" t="s">
        <v>195</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rentalAgreement</v>
      </c>
      <c r="V37" s="4" t="str">
        <f>IF(LEN(Table2[[#This Row],[!Description]]) &gt; 0, Table2[[#This Row],[!Description]], "rg:None")</f>
        <v>The rental agreement (if any) created for an accepted hire offer.</v>
      </c>
      <c r="W37" s="4" t="str">
        <f>IF(LEN(Table2[[#This Row],[!FK]])&gt;0,Table2[[#This Row],[!FK]],"rg:None")</f>
        <v>RentalAgreement</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57.6" x14ac:dyDescent="0.35">
      <c r="A38" s="66" t="s">
        <v>424</v>
      </c>
      <c r="B38" s="26" t="s">
        <v>9</v>
      </c>
      <c r="C38" s="72"/>
      <c r="D38" s="26" t="s">
        <v>194</v>
      </c>
      <c r="E38" s="60" t="s">
        <v>383</v>
      </c>
      <c r="F38" s="12"/>
      <c r="G38" s="18"/>
      <c r="H38" s="18"/>
      <c r="I38" s="4" t="str">
        <f t="shared" si="3"/>
        <v>Defs</v>
      </c>
      <c r="J38" s="4" t="str">
        <f>IF(Table2[[#This Row],[!Type]]=J$1, J$1,"rg:None")</f>
        <v>boolean</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isForceHire</v>
      </c>
      <c r="V38"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ht="28.8" x14ac:dyDescent="0.35">
      <c r="A39" s="66" t="s">
        <v>424</v>
      </c>
      <c r="B39" s="28" t="s">
        <v>9</v>
      </c>
      <c r="C39" s="72"/>
      <c r="D39" s="40" t="s">
        <v>216</v>
      </c>
      <c r="E39" s="48" t="s">
        <v>218</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wasAsked</v>
      </c>
      <c r="V39" s="4" t="str">
        <f>IF(LEN(Table2[[#This Row],[!Description]]) &gt; 0, Table2[[#This Row],[!Description]], "rg:None")</f>
        <v>True if the HETS Clerk contacted the equipment owner and asked to hire the piece of equipment.</v>
      </c>
      <c r="W39" s="4" t="str">
        <f>IF(LEN(Table2[[#This Row],[!FK]])&gt;0,Table2[[#This Row],[!FK]],"rg:None")</f>
        <v>rg:None</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ht="28.8" x14ac:dyDescent="0.35">
      <c r="A40" s="66" t="s">
        <v>424</v>
      </c>
      <c r="B40" s="26" t="s">
        <v>12</v>
      </c>
      <c r="C40" s="72"/>
      <c r="D40" s="40" t="s">
        <v>217</v>
      </c>
      <c r="E40" s="50" t="s">
        <v>347</v>
      </c>
      <c r="F40" s="12"/>
      <c r="G40" s="18"/>
      <c r="H40" s="18"/>
      <c r="I40" s="4" t="str">
        <f t="shared" ref="I40:I46" si="4">IF(LEN(A40) &gt; 0,"Defs","-")</f>
        <v>Defs</v>
      </c>
      <c r="J40" s="4" t="str">
        <f>IF(Table2[[#This Row],[!Type]]=J$1, J$1,"rg:None")</f>
        <v>rg:None</v>
      </c>
      <c r="K40" s="4" t="str">
        <f>IF(Table2[[#This Row],[!Type]]=K$1, K$1,"rg:None")</f>
        <v>rg:None</v>
      </c>
      <c r="L40" s="4" t="str">
        <f>IF(Table2[[#This Row],[!Type]]=L$1, L$1,"rg:None")</f>
        <v>datetime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askedDateTime</v>
      </c>
      <c r="V40" s="4" t="str">
        <f>IF(LEN(Table2[[#This Row],[!Description]]) &gt; 0, Table2[[#This Row],[!Description]], "rg:None")</f>
        <v>The Date-Time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x14ac:dyDescent="0.35">
      <c r="A41" s="66" t="s">
        <v>424</v>
      </c>
      <c r="B41" s="40" t="s">
        <v>7</v>
      </c>
      <c r="C41" s="72"/>
      <c r="D41" s="40" t="s">
        <v>219</v>
      </c>
      <c r="E41" s="90" t="s">
        <v>220</v>
      </c>
      <c r="F41" s="12"/>
      <c r="G41" s="18"/>
      <c r="H41" s="18"/>
      <c r="I41" s="4" t="str">
        <f>IF(LEN(A41) &gt; 0,"Defs","-")</f>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t="str">
        <f>IF(LEN(Table2[[#This Row],[!Length]]) &gt; 0, Table2[[#This Row],[!Length]], "rg:None")</f>
        <v>rg:None</v>
      </c>
      <c r="U41" s="4" t="str">
        <f>IF(LEN(Table2[[#This Row],[!Name]]) &gt; 0, Table2[[#This Row],[!Name]], "rg:None")</f>
        <v>offerResponse</v>
      </c>
      <c r="V41" s="4" t="str">
        <f>IF(LEN(Table2[[#This Row],[!Description]]) &gt; 0, Table2[[#This Row],[!Description]], "rg:None")</f>
        <v>The response to the offer to hire. Null prior to receiving a response; a string after with the response - likely just Yes or No</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x14ac:dyDescent="0.35">
      <c r="A42" s="73" t="s">
        <v>424</v>
      </c>
      <c r="B42" s="73" t="s">
        <v>7</v>
      </c>
      <c r="C42" s="73">
        <v>50</v>
      </c>
      <c r="D42" s="73" t="s">
        <v>452</v>
      </c>
      <c r="E42" s="74" t="s">
        <v>453</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f>IF(LEN(Table2[[#This Row],[!Length]]) &gt; 0, Table2[[#This Row],[!Length]], "rg:None")</f>
        <v>50</v>
      </c>
      <c r="U42" s="4" t="str">
        <f>IF(LEN(Table2[[#This Row],[!Name]]) &gt; 0, Table2[[#This Row],[!Name]], "rg:None")</f>
        <v>offerRefusalReason</v>
      </c>
      <c r="V42" s="4" t="str">
        <f>IF(LEN(Table2[[#This Row],[!Description]]) &gt; 0, Table2[[#This Row],[!Description]], "rg:None")</f>
        <v>The reason why the user refused the offer based on a selection of values from the UI.</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x14ac:dyDescent="0.35">
      <c r="A43" s="66" t="s">
        <v>424</v>
      </c>
      <c r="B43" s="73" t="s">
        <v>12</v>
      </c>
      <c r="C43" s="72"/>
      <c r="D43" s="73" t="s">
        <v>449</v>
      </c>
      <c r="E43" s="74" t="s">
        <v>450</v>
      </c>
      <c r="F43" s="12"/>
      <c r="G43" s="18"/>
      <c r="H43" s="18"/>
      <c r="I43" s="4" t="str">
        <f>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offerResponseDatetime</v>
      </c>
      <c r="V43" s="4" t="str">
        <f>IF(LEN(Table2[[#This Row],[!Description]]) &gt; 0, Table2[[#This Row],[!Description]], "rg:None")</f>
        <v>The date and time the final response to the offer was established.</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ht="28.8" x14ac:dyDescent="0.35">
      <c r="A44" s="66" t="s">
        <v>424</v>
      </c>
      <c r="B44" s="26" t="s">
        <v>7</v>
      </c>
      <c r="C44" s="72">
        <v>2048</v>
      </c>
      <c r="D44" s="73" t="s">
        <v>451</v>
      </c>
      <c r="E44" s="112" t="s">
        <v>456</v>
      </c>
      <c r="F44" s="12"/>
      <c r="G44" s="18"/>
      <c r="H44" s="18"/>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2048</v>
      </c>
      <c r="U44" s="4" t="str">
        <f>IF(LEN(Table2[[#This Row],[!Name]]) &gt; 0, Table2[[#This Row],[!Name]], "rg:None")</f>
        <v>offerResponseNote</v>
      </c>
      <c r="V44" s="4" t="str">
        <f>IF(LEN(Table2[[#This Row],[!Description]]) &gt; 0, Table2[[#This Row],[!Description]], "rg:None")</f>
        <v>A note entered about the response to the offer from the equipment owner about the offer. Usually used when the offer is a "No" or "Force Hire".</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5">
      <c r="A45" s="66" t="s">
        <v>424</v>
      </c>
      <c r="B45" s="26" t="s">
        <v>7</v>
      </c>
      <c r="C45" s="72">
        <v>2048</v>
      </c>
      <c r="D45" s="26" t="s">
        <v>153</v>
      </c>
      <c r="E45" s="48" t="s">
        <v>221</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note</v>
      </c>
      <c r="V45" s="4" t="str">
        <f>IF(LEN(Table2[[#This Row],[!Description]]) &gt; 0, Table2[[#This Row],[!Description]], "rg:None")</f>
        <v>An optional general note about the offer.</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ht="28.8" x14ac:dyDescent="0.35">
      <c r="A46" s="26" t="s">
        <v>195</v>
      </c>
      <c r="B46" s="26" t="s">
        <v>4</v>
      </c>
      <c r="C46" s="72"/>
      <c r="D46" s="26" t="s">
        <v>195</v>
      </c>
      <c r="E46" s="60" t="s">
        <v>384</v>
      </c>
      <c r="F46" s="27"/>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table</v>
      </c>
      <c r="T46" s="4" t="str">
        <f>IF(LEN(Table2[[#This Row],[!Length]]) &gt; 0, Table2[[#This Row],[!Length]], "rg:None")</f>
        <v>rg:None</v>
      </c>
      <c r="U46" s="4" t="str">
        <f>IF(LEN(Table2[[#This Row],[!Name]]) &gt; 0, Table2[[#This Row],[!Name]], "rg:None")</f>
        <v>RentalAgreement</v>
      </c>
      <c r="V46" s="4" t="str">
        <f>IF(LEN(Table2[[#This Row],[!Description]]) &gt; 0, Table2[[#This Row],[!Description]], "rg:None")</f>
        <v>Information about the hiring of a specific piece of equipment to satisfy part or all of a request from a project. TABLE DEFINITION IN PROGRESS - MORE COLUMNS TO BE ADDED</v>
      </c>
      <c r="W46" s="4" t="str">
        <f>IF(LEN(Table2[[#This Row],[!FK]])&gt;0,Table2[[#This Row],[!FK]],"rg:None")</f>
        <v>rg:None</v>
      </c>
      <c r="X46" s="14" t="str">
        <f>IF(LEN(concatif2(A:A,Table2[[#This Row],[!Table]],G:G,"Y",D:D,",")) &gt; 0,"rg:[ { 'req' : '"&amp;concatif2(A:A,Table2[[#This Row],[!Table]],G:G,"Y",D:D,"' }, { 'req': '")&amp;"'} ]","rg:[]")</f>
        <v>rg:[ { 'req' : 'id' }, { 'req': 'number' }, { 'req': 'status' }, { 'req': 'equipment' }, { 'req': 'project'} ]</v>
      </c>
      <c r="Y46" s="4" t="str">
        <f>IF(LEN(Table2[[#This Row],[!Unique]])&gt;0,IF(Table2[[#This Row],[!Type]] = "id", "rg:None","rg:True"),"rg:None")</f>
        <v>rg:None</v>
      </c>
    </row>
    <row r="47" spans="1:25" x14ac:dyDescent="0.35">
      <c r="A47" s="26" t="s">
        <v>195</v>
      </c>
      <c r="B47" s="23" t="s">
        <v>6</v>
      </c>
      <c r="C47" s="72"/>
      <c r="D47" s="23" t="s">
        <v>6</v>
      </c>
      <c r="E47" s="54" t="s">
        <v>292</v>
      </c>
      <c r="F47" s="12"/>
      <c r="G47" s="25" t="s">
        <v>60</v>
      </c>
      <c r="H47" s="154" t="s">
        <v>60</v>
      </c>
      <c r="I47" s="4" t="str">
        <f t="shared" ref="I47:I78" si="5">IF(LEN(A47) &gt; 0,"Defs","-")</f>
        <v>Defs</v>
      </c>
      <c r="J47" s="4" t="str">
        <f>IF(Table2[[#This Row],[!Type]]=J$1, J$1,"rg:None")</f>
        <v>rg:None</v>
      </c>
      <c r="K47" s="4" t="str">
        <f>IF(Table2[[#This Row],[!Type]]=K$1, K$1,"rg:None")</f>
        <v>rg:None</v>
      </c>
      <c r="L47" s="4" t="str">
        <f>IF(Table2[[#This Row],[!Type]]=L$1, L$1,"rg:None")</f>
        <v>rg:None</v>
      </c>
      <c r="M47" s="4" t="str">
        <f>IF(Table2[[#This Row],[!Type]]=M$1, M$1,"rg:None")</f>
        <v>id</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id</v>
      </c>
      <c r="V47" s="4" t="str">
        <f>IF(LEN(Table2[[#This Row],[!Description]]) &gt; 0, Table2[[#This Row],[!Description]], "rg:None")</f>
        <v>A system-generated unique identifier for a RentalAgreement</v>
      </c>
      <c r="W47" s="4" t="str">
        <f>IF(LEN(Table2[[#This Row],[!FK]])&gt;0,Table2[[#This Row],[!FK]],"rg:None")</f>
        <v>rg:None</v>
      </c>
      <c r="X47" s="14" t="str">
        <f>IF(LEN(concatif2(A:A,Table2[[#This Row],[!Table]],G:G,"Y",D:D,",")) &gt; 0,"rg:[ { 'req' : '"&amp;concatif2(A:A,Table2[[#This Row],[!Table]],G:G,"Y",D:D,"' }, { 'req': '")&amp;"'} ]","rg:[]")</f>
        <v>rg:[ { 'req' : 'id' }, { 'req': 'number' }, { 'req': 'status' }, { 'req': 'equipment' }, { 'req': 'project'} ]</v>
      </c>
      <c r="Y47" s="4" t="str">
        <f>IF(LEN(Table2[[#This Row],[!Unique]])&gt;0,IF(Table2[[#This Row],[!Type]] = "id", "rg:None","rg:True"),"rg:None")</f>
        <v>rg:None</v>
      </c>
    </row>
    <row r="48" spans="1:25" ht="28.8" x14ac:dyDescent="0.35">
      <c r="A48" s="111" t="s">
        <v>195</v>
      </c>
      <c r="B48" s="111" t="s">
        <v>7</v>
      </c>
      <c r="C48" s="72">
        <v>30</v>
      </c>
      <c r="D48" s="111" t="s">
        <v>482</v>
      </c>
      <c r="E48" s="112" t="s">
        <v>483</v>
      </c>
      <c r="F48" s="12"/>
      <c r="G48" s="154" t="s">
        <v>60</v>
      </c>
      <c r="H48" s="18"/>
      <c r="I48" s="4" t="str">
        <f>IF(LEN(A48) &gt; 0,"Defs","-")</f>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30</v>
      </c>
      <c r="U48" s="4" t="str">
        <f>IF(LEN(Table2[[#This Row],[!Name]]) &gt; 0, Table2[[#This Row],[!Name]], "rg:None")</f>
        <v>number</v>
      </c>
      <c r="V48" s="4" t="str">
        <f>IF(LEN(Table2[[#This Row],[!Description]]) &gt; 0, Table2[[#This Row],[!Description]], "rg:None")</f>
        <v>A system-generated unique rental agreement number in a format defined by the business as suitable for the business and client to see and use.</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5">
      <c r="A49" s="73" t="s">
        <v>195</v>
      </c>
      <c r="B49" s="73" t="s">
        <v>7</v>
      </c>
      <c r="C49" s="72">
        <v>50</v>
      </c>
      <c r="D49" s="73" t="s">
        <v>226</v>
      </c>
      <c r="E49" s="74" t="s">
        <v>439</v>
      </c>
      <c r="F49" s="12"/>
      <c r="G49" s="154" t="s">
        <v>60</v>
      </c>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5">
      <c r="A50" s="26" t="s">
        <v>195</v>
      </c>
      <c r="B50" s="26" t="s">
        <v>8</v>
      </c>
      <c r="C50" s="72"/>
      <c r="D50" s="26" t="s">
        <v>176</v>
      </c>
      <c r="E50" s="129" t="s">
        <v>532</v>
      </c>
      <c r="F50" s="27" t="s">
        <v>177</v>
      </c>
      <c r="G50" s="154" t="s">
        <v>60</v>
      </c>
      <c r="H50" s="18"/>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A foreign key reference to the system-generated unique identifier for an Equipment</v>
      </c>
      <c r="W50" s="4" t="str">
        <f>IF(LEN(Table2[[#This Row],[!FK]])&gt;0,Table2[[#This Row],[!FK]],"rg:None")</f>
        <v>Equipment</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5">
      <c r="A51" s="26" t="s">
        <v>195</v>
      </c>
      <c r="B51" s="23" t="s">
        <v>8</v>
      </c>
      <c r="C51" s="72"/>
      <c r="D51" s="23" t="s">
        <v>147</v>
      </c>
      <c r="E51" s="129" t="s">
        <v>533</v>
      </c>
      <c r="F51" s="24" t="s">
        <v>134</v>
      </c>
      <c r="G51" s="154" t="s">
        <v>60</v>
      </c>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A foreign key reference to the system-generated unique identifier for a Project</v>
      </c>
      <c r="W51" s="4" t="str">
        <f>IF(LEN(Table2[[#This Row],[!FK]])&gt;0,Table2[[#This Row],[!FK]],"rg:None")</f>
        <v>Project</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5">
      <c r="A52" s="111" t="s">
        <v>195</v>
      </c>
      <c r="B52" s="111" t="s">
        <v>7</v>
      </c>
      <c r="C52" s="72">
        <v>2048</v>
      </c>
      <c r="D52" s="111" t="s">
        <v>153</v>
      </c>
      <c r="E52" s="112" t="s">
        <v>475</v>
      </c>
      <c r="F52" s="12"/>
      <c r="G52" s="18"/>
      <c r="H52" s="18"/>
      <c r="I52" s="4" t="str">
        <f t="shared" ref="I52:I54" si="6">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2048</v>
      </c>
      <c r="U52" s="4" t="str">
        <f>IF(LEN(Table2[[#This Row],[!Name]]) &gt; 0, Table2[[#This Row],[!Name]], "rg:None")</f>
        <v>note</v>
      </c>
      <c r="V52" s="4" t="str">
        <f>IF(LEN(Table2[[#This Row],[!Description]]) &gt; 0, Table2[[#This Row],[!Description]], "rg:None")</f>
        <v>An optional note to be placed onto the Rental Agreement.</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5">
      <c r="A53" s="111" t="s">
        <v>195</v>
      </c>
      <c r="B53" s="111" t="s">
        <v>12</v>
      </c>
      <c r="C53" s="72"/>
      <c r="D53" s="111" t="s">
        <v>476</v>
      </c>
      <c r="E53" s="112" t="s">
        <v>477</v>
      </c>
      <c r="F53" s="12"/>
      <c r="G53" s="18"/>
      <c r="H53" s="18"/>
      <c r="I53" s="4" t="str">
        <f t="shared" si="6"/>
        <v>Defs</v>
      </c>
      <c r="J53" s="4" t="str">
        <f>IF(Table2[[#This Row],[!Type]]=J$1, J$1,"rg:None")</f>
        <v>rg:None</v>
      </c>
      <c r="K53" s="4" t="str">
        <f>IF(Table2[[#This Row],[!Type]]=K$1, K$1,"rg:None")</f>
        <v>rg:None</v>
      </c>
      <c r="L53" s="4" t="str">
        <f>IF(Table2[[#This Row],[!Type]]=L$1, L$1,"rg:None")</f>
        <v>datetime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estimateStartWork</v>
      </c>
      <c r="V53" s="4" t="str">
        <f>IF(LEN(Table2[[#This Row],[!Description]]) &gt; 0, Table2[[#This Row],[!Description]], "rg:None")</f>
        <v>The estimated start date of the work to be placed on the rental agreement.</v>
      </c>
      <c r="W53" s="4" t="str">
        <f>IF(LEN(Table2[[#This Row],[!FK]])&gt;0,Table2[[#This Row],[!FK]],"rg:None")</f>
        <v>rg:None</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5">
      <c r="A54" s="111" t="s">
        <v>195</v>
      </c>
      <c r="B54" s="111" t="s">
        <v>12</v>
      </c>
      <c r="C54" s="72"/>
      <c r="D54" s="111" t="s">
        <v>480</v>
      </c>
      <c r="E54" s="112" t="s">
        <v>478</v>
      </c>
      <c r="F54" s="12"/>
      <c r="G54" s="18"/>
      <c r="H54" s="18"/>
      <c r="I54" s="4" t="str">
        <f t="shared" si="6"/>
        <v>Defs</v>
      </c>
      <c r="J54" s="4" t="str">
        <f>IF(Table2[[#This Row],[!Type]]=J$1, J$1,"rg:None")</f>
        <v>rg:None</v>
      </c>
      <c r="K54" s="4" t="str">
        <f>IF(Table2[[#This Row],[!Type]]=K$1, K$1,"rg:None")</f>
        <v>rg:None</v>
      </c>
      <c r="L54" s="4" t="str">
        <f>IF(Table2[[#This Row],[!Type]]=L$1, L$1,"rg:None")</f>
        <v>datetime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datedOn</v>
      </c>
      <c r="V54" s="4" t="str">
        <f>IF(LEN(Table2[[#This Row],[!Description]]) &gt; 0, Table2[[#This Row],[!Description]], "rg:None")</f>
        <v>The dated on date to put on the Rental Agreement.</v>
      </c>
      <c r="W54" s="4" t="str">
        <f>IF(LEN(Table2[[#This Row],[!FK]])&gt;0,Table2[[#This Row],[!FK]],"rg:None")</f>
        <v>rg:None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5">
      <c r="A55" s="111" t="s">
        <v>195</v>
      </c>
      <c r="B55" s="111" t="s">
        <v>13</v>
      </c>
      <c r="C55" s="72"/>
      <c r="D55" s="111" t="s">
        <v>479</v>
      </c>
      <c r="E55" s="112" t="s">
        <v>481</v>
      </c>
      <c r="F55" s="12"/>
      <c r="G55" s="18"/>
      <c r="H55" s="18"/>
      <c r="I55" s="4" t="str">
        <f t="shared" ref="I55" si="7">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integer</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estimateHours</v>
      </c>
      <c r="V55" s="4" t="str">
        <f>IF(LEN(Table2[[#This Row],[!Description]]) &gt; 0, Table2[[#This Row],[!Description]], "rg:None")</f>
        <v>The estimated number of hours of work to be put onto the Rental Agreement.</v>
      </c>
      <c r="W55" s="4" t="str">
        <f>IF(LEN(Table2[[#This Row],[!FK]])&gt;0,Table2[[#This Row],[!FK]],"rg:None")</f>
        <v>rg:None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ht="28.8" x14ac:dyDescent="0.35">
      <c r="A56" s="111" t="s">
        <v>195</v>
      </c>
      <c r="B56" s="111" t="s">
        <v>106</v>
      </c>
      <c r="C56" s="72"/>
      <c r="D56" s="111" t="s">
        <v>486</v>
      </c>
      <c r="E56" s="112" t="s">
        <v>489</v>
      </c>
      <c r="F56" s="12"/>
      <c r="G56" s="18"/>
      <c r="H56" s="18"/>
      <c r="I56" s="4" t="str">
        <f t="shared" ref="I56:I58" si="8">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equipmentRate</v>
      </c>
      <c r="V56" s="4" t="str">
        <f>IF(LEN(Table2[[#This Row],[!Description]]) &gt; 0, Table2[[#This Row],[!Description]], "rg:None")</f>
        <v>The dollar rate for the piece of equipment itself for this Rental Agreement. Other rates associated with the Rental Agreement are in the Rental Agreement Rate table.</v>
      </c>
      <c r="W56" s="4" t="str">
        <f>IF(LEN(Table2[[#This Row],[!FK]])&gt;0,Table2[[#This Row],[!FK]],"rg:None")</f>
        <v>rg:None</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ht="28.8" x14ac:dyDescent="0.35">
      <c r="A57" s="111" t="s">
        <v>195</v>
      </c>
      <c r="B57" s="111" t="s">
        <v>7</v>
      </c>
      <c r="C57" s="72">
        <v>50</v>
      </c>
      <c r="D57" s="111" t="s">
        <v>463</v>
      </c>
      <c r="E57" s="112" t="s">
        <v>464</v>
      </c>
      <c r="F57" s="12"/>
      <c r="G57" s="18"/>
      <c r="H57" s="18"/>
      <c r="I57" s="4" t="str">
        <f t="shared" si="8"/>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50</v>
      </c>
      <c r="U57" s="4" t="str">
        <f>IF(LEN(Table2[[#This Row],[!Name]]) &gt; 0, Table2[[#This Row],[!Name]], "rg:None")</f>
        <v>ratePeriod</v>
      </c>
      <c r="V57" s="4" t="str">
        <f>IF(LEN(Table2[[#This Row],[!Description]]) &gt; 0, Table2[[#This Row],[!Description]], "rg:None")</f>
        <v>The period of the rental rate. The vast majority will be hourly, but the rate could apply across a different period, e.g. daily.</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5">
      <c r="A58" s="111" t="s">
        <v>195</v>
      </c>
      <c r="B58" s="111" t="s">
        <v>7</v>
      </c>
      <c r="C58" s="72">
        <v>2048</v>
      </c>
      <c r="D58" s="111" t="s">
        <v>490</v>
      </c>
      <c r="E58" s="112" t="s">
        <v>491</v>
      </c>
      <c r="F58" s="12"/>
      <c r="G58" s="18"/>
      <c r="H58" s="18"/>
      <c r="I58" s="4" t="str">
        <f t="shared" si="8"/>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rateComment</v>
      </c>
      <c r="V58" s="4" t="str">
        <f>IF(LEN(Table2[[#This Row],[!Description]]) &gt; 0, Table2[[#This Row],[!Description]], "rg:None")</f>
        <v>A comment about the rate for the piece of equipment.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5">
      <c r="A59" s="111" t="s">
        <v>457</v>
      </c>
      <c r="B59" s="111" t="s">
        <v>4</v>
      </c>
      <c r="C59" s="72"/>
      <c r="D59" s="111" t="s">
        <v>457</v>
      </c>
      <c r="E59" s="112" t="s">
        <v>458</v>
      </c>
      <c r="F59" s="12"/>
      <c r="G59" s="18"/>
      <c r="H59" s="18"/>
      <c r="I59" s="4" t="str">
        <f t="shared" ref="I59:I71" si="9">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table</v>
      </c>
      <c r="T59" s="4" t="str">
        <f>IF(LEN(Table2[[#This Row],[!Length]]) &gt; 0, Table2[[#This Row],[!Length]], "rg:None")</f>
        <v>rg:None</v>
      </c>
      <c r="U59" s="4" t="str">
        <f>IF(LEN(Table2[[#This Row],[!Name]]) &gt; 0, Table2[[#This Row],[!Name]], "rg:None")</f>
        <v>RentalAgreementRate</v>
      </c>
      <c r="V59" s="4" t="str">
        <f>IF(LEN(Table2[[#This Row],[!Description]]) &gt; 0, Table2[[#This Row],[!Description]], "rg:None")</f>
        <v>The rate associated with an element of a rental agreement.</v>
      </c>
      <c r="W59" s="4" t="str">
        <f>IF(LEN(Table2[[#This Row],[!FK]])&gt;0,Table2[[#This Row],[!FK]],"rg:None")</f>
        <v>rg:None</v>
      </c>
      <c r="X59" s="14" t="str">
        <f>IF(LEN(concatif2(A:A,Table2[[#This Row],[!Table]],G:G,"Y",D:D,",")) &gt; 0,"rg:[ { 'req' : '"&amp;concatif2(A:A,Table2[[#This Row],[!Table]],G:G,"Y",D:D,"' }, { 'req': '")&amp;"'} ]","rg:[]")</f>
        <v>rg:[ { 'req' : 'id' }, { 'req': 'rentalAgreement'} ]</v>
      </c>
      <c r="Y59" s="4" t="str">
        <f>IF(LEN(Table2[[#This Row],[!Unique]])&gt;0,IF(Table2[[#This Row],[!Type]] = "id", "rg:None","rg:True"),"rg:None")</f>
        <v>rg:None</v>
      </c>
    </row>
    <row r="60" spans="1:25" x14ac:dyDescent="0.35">
      <c r="A60" s="111" t="s">
        <v>457</v>
      </c>
      <c r="B60" s="111" t="s">
        <v>6</v>
      </c>
      <c r="C60" s="72"/>
      <c r="D60" s="111" t="s">
        <v>6</v>
      </c>
      <c r="E60" s="113" t="s">
        <v>459</v>
      </c>
      <c r="F60" s="12"/>
      <c r="G60" s="114" t="s">
        <v>60</v>
      </c>
      <c r="H60" s="154" t="s">
        <v>60</v>
      </c>
      <c r="I60" s="4" t="str">
        <f t="shared" si="9"/>
        <v>Defs</v>
      </c>
      <c r="J60" s="4" t="str">
        <f>IF(Table2[[#This Row],[!Type]]=J$1, J$1,"rg:None")</f>
        <v>rg:None</v>
      </c>
      <c r="K60" s="4" t="str">
        <f>IF(Table2[[#This Row],[!Type]]=K$1, K$1,"rg:None")</f>
        <v>rg:None</v>
      </c>
      <c r="L60" s="4" t="str">
        <f>IF(Table2[[#This Row],[!Type]]=L$1, L$1,"rg:None")</f>
        <v>rg:None</v>
      </c>
      <c r="M60" s="4" t="str">
        <f>IF(Table2[[#This Row],[!Type]]=M$1, M$1,"rg:None")</f>
        <v>id</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id</v>
      </c>
      <c r="V60" s="4" t="str">
        <f>IF(LEN(Table2[[#This Row],[!Description]]) &gt; 0, Table2[[#This Row],[!Description]], "rg:None")</f>
        <v>A system-generated unique identifier for a RentalAgreementRate</v>
      </c>
      <c r="W60" s="4" t="str">
        <f>IF(LEN(Table2[[#This Row],[!FK]])&gt;0,Table2[[#This Row],[!FK]],"rg:None")</f>
        <v>rg:None</v>
      </c>
      <c r="X60" s="14" t="str">
        <f>IF(LEN(concatif2(A:A,Table2[[#This Row],[!Table]],G:G,"Y",D:D,",")) &gt; 0,"rg:[ { 'req' : '"&amp;concatif2(A:A,Table2[[#This Row],[!Table]],G:G,"Y",D:D,"' }, { 'req': '")&amp;"'} ]","rg:[]")</f>
        <v>rg:[ { 'req' : 'id' }, { 'req': 'rentalAgreement'} ]</v>
      </c>
      <c r="Y60" s="4" t="str">
        <f>IF(LEN(Table2[[#This Row],[!Unique]])&gt;0,IF(Table2[[#This Row],[!Type]] = "id", "rg:None","rg:True"),"rg:None")</f>
        <v>rg:None</v>
      </c>
    </row>
    <row r="61" spans="1:25" x14ac:dyDescent="0.35">
      <c r="A61" s="111" t="s">
        <v>457</v>
      </c>
      <c r="B61" s="111" t="s">
        <v>8</v>
      </c>
      <c r="C61" s="72"/>
      <c r="D61" s="111" t="s">
        <v>196</v>
      </c>
      <c r="E61" s="129" t="s">
        <v>534</v>
      </c>
      <c r="F61" s="27" t="s">
        <v>195</v>
      </c>
      <c r="G61" s="154" t="s">
        <v>60</v>
      </c>
      <c r="H61" s="18"/>
      <c r="I61" s="4" t="str">
        <f t="shared" si="9"/>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rentalAgreement</v>
      </c>
      <c r="V61" s="4" t="str">
        <f>IF(LEN(Table2[[#This Row],[!Description]]) &gt; 0, Table2[[#This Row],[!Description]], "rg:None")</f>
        <v>A foreign key reference to the system-generated unique identifier for a Rental Agreement</v>
      </c>
      <c r="W61" s="4" t="str">
        <f>IF(LEN(Table2[[#This Row],[!FK]])&gt;0,Table2[[#This Row],[!FK]],"rg:None")</f>
        <v>RentalAgreement</v>
      </c>
      <c r="X61" s="14" t="str">
        <f>IF(LEN(concatif2(A:A,Table2[[#This Row],[!Table]],G:G,"Y",D:D,",")) &gt; 0,"rg:[ { 'req' : '"&amp;concatif2(A:A,Table2[[#This Row],[!Table]],G:G,"Y",D:D,"' }, { 'req': '")&amp;"'} ]","rg:[]")</f>
        <v>rg:[ { 'req' : 'id' }, { 'req': 'rentalAgreement'} ]</v>
      </c>
      <c r="Y61" s="4" t="str">
        <f>IF(LEN(Table2[[#This Row],[!Unique]])&gt;0,IF(Table2[[#This Row],[!Type]] = "id", "rg:None","rg:True"),"rg:None")</f>
        <v>rg:None</v>
      </c>
    </row>
    <row r="62" spans="1:25" x14ac:dyDescent="0.35">
      <c r="A62" s="111" t="s">
        <v>457</v>
      </c>
      <c r="B62" s="111" t="s">
        <v>7</v>
      </c>
      <c r="C62" s="72">
        <v>150</v>
      </c>
      <c r="D62" s="111" t="s">
        <v>467</v>
      </c>
      <c r="E62" s="112" t="s">
        <v>468</v>
      </c>
      <c r="F62" s="12"/>
      <c r="G62" s="18"/>
      <c r="H62" s="18"/>
      <c r="I62" s="4" t="str">
        <f>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150</v>
      </c>
      <c r="U62" s="4" t="str">
        <f>IF(LEN(Table2[[#This Row],[!Name]]) &gt; 0, Table2[[#This Row],[!Name]], "rg:None")</f>
        <v>componentName</v>
      </c>
      <c r="V62" s="4" t="str">
        <f>IF(LEN(Table2[[#This Row],[!Description]]) &gt; 0, Table2[[#This Row],[!Description]], "rg:None")</f>
        <v>Name of the component for the Rental Agreement for which the attached rates apply.</v>
      </c>
      <c r="W62" s="4" t="str">
        <f>IF(LEN(Table2[[#This Row],[!FK]])&gt;0,Table2[[#This Row],[!FK]],"rg:None")</f>
        <v>rg:None</v>
      </c>
      <c r="X62" s="14" t="str">
        <f>IF(LEN(concatif2(A:A,Table2[[#This Row],[!Table]],G:G,"Y",D:D,",")) &gt; 0,"rg:[ { 'req' : '"&amp;concatif2(A:A,Table2[[#This Row],[!Table]],G:G,"Y",D:D,"' }, { 'req': '")&amp;"'} ]","rg:[]")</f>
        <v>rg:[ { 'req' : 'id' }, { 'req': 'rentalAgreement'} ]</v>
      </c>
      <c r="Y62" s="4" t="str">
        <f>IF(LEN(Table2[[#This Row],[!Unique]])&gt;0,IF(Table2[[#This Row],[!Type]] = "id", "rg:None","rg:True"),"rg:None")</f>
        <v>rg:None</v>
      </c>
    </row>
    <row r="63" spans="1:25" x14ac:dyDescent="0.35">
      <c r="A63" s="111" t="s">
        <v>457</v>
      </c>
      <c r="B63" s="111" t="s">
        <v>9</v>
      </c>
      <c r="C63" s="72"/>
      <c r="D63" s="111" t="s">
        <v>487</v>
      </c>
      <c r="E63" s="112" t="s">
        <v>488</v>
      </c>
      <c r="F63" s="12"/>
      <c r="G63" s="154"/>
      <c r="H63" s="18"/>
      <c r="I63" s="4" t="str">
        <f t="shared" si="9"/>
        <v>Defs</v>
      </c>
      <c r="J63" s="4" t="str">
        <f>IF(Table2[[#This Row],[!Type]]=J$1, J$1,"rg:None")</f>
        <v>boolean</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isAttachment</v>
      </c>
      <c r="V63" s="4" t="str">
        <f>IF(LEN(Table2[[#This Row],[!Description]]) &gt; 0, Table2[[#This Row],[!Description]], "rg:None")</f>
        <v>True if this rate is for an attachment to the piece of equipment.</v>
      </c>
      <c r="W63" s="4" t="str">
        <f>IF(LEN(Table2[[#This Row],[!FK]])&gt;0,Table2[[#This Row],[!FK]],"rg:None")</f>
        <v>rg:None</v>
      </c>
      <c r="X63" s="14" t="str">
        <f>IF(LEN(concatif2(A:A,Table2[[#This Row],[!Table]],G:G,"Y",D:D,",")) &gt; 0,"rg:[ { 'req' : '"&amp;concatif2(A:A,Table2[[#This Row],[!Table]],G:G,"Y",D:D,"' }, { 'req': '")&amp;"'} ]","rg:[]")</f>
        <v>rg:[ { 'req' : 'id' }, { 'req': 'rentalAgreement'} ]</v>
      </c>
      <c r="Y63" s="4" t="str">
        <f>IF(LEN(Table2[[#This Row],[!Unique]])&gt;0,IF(Table2[[#This Row],[!Type]] = "id", "rg:None","rg:True"),"rg:None")</f>
        <v>rg:None</v>
      </c>
    </row>
    <row r="64" spans="1:25" x14ac:dyDescent="0.35">
      <c r="A64" s="111" t="s">
        <v>457</v>
      </c>
      <c r="B64" s="111" t="s">
        <v>106</v>
      </c>
      <c r="C64" s="72"/>
      <c r="D64" s="111" t="s">
        <v>142</v>
      </c>
      <c r="E64" s="112" t="s">
        <v>460</v>
      </c>
      <c r="F64" s="12"/>
      <c r="G64" s="154"/>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v>
      </c>
      <c r="V64" s="4" t="str">
        <f>IF(LEN(Table2[[#This Row],[!Description]]) &gt; 0, Table2[[#This Row],[!Description]], "rg:None")</f>
        <v>The dollar rate associated with this component of the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ht="28.8" x14ac:dyDescent="0.35">
      <c r="A65" s="111" t="s">
        <v>457</v>
      </c>
      <c r="B65" s="111" t="s">
        <v>13</v>
      </c>
      <c r="C65" s="72"/>
      <c r="D65" s="111" t="s">
        <v>461</v>
      </c>
      <c r="E65" s="112" t="s">
        <v>462</v>
      </c>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integer</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percentOfEquipmentRate</v>
      </c>
      <c r="V65" s="4" t="str">
        <f>IF(LEN(Table2[[#This Row],[!Description]]) &gt; 0, Table2[[#This Row],[!Description]], "rg:None")</f>
        <v>For other than the actual piece of equipment, the percent of the equipment rate to use for this component of the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ht="28.8" x14ac:dyDescent="0.35">
      <c r="A66" s="111" t="s">
        <v>457</v>
      </c>
      <c r="B66" s="111" t="s">
        <v>7</v>
      </c>
      <c r="C66" s="72">
        <v>50</v>
      </c>
      <c r="D66" s="111" t="s">
        <v>463</v>
      </c>
      <c r="E66" s="112" t="s">
        <v>464</v>
      </c>
      <c r="F66" s="12"/>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50</v>
      </c>
      <c r="U66" s="4" t="str">
        <f>IF(LEN(Table2[[#This Row],[!Name]]) &gt; 0, Table2[[#This Row],[!Name]], "rg:None")</f>
        <v>ratePeriod</v>
      </c>
      <c r="V66" s="4" t="str">
        <f>IF(LEN(Table2[[#This Row],[!Description]]) &gt; 0, Table2[[#This Row],[!Description]], "rg:None")</f>
        <v>The period of the rental rate. The vast majority will be hourly, but the rate could apply across a different period, e.g. daily.</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5">
      <c r="A67" s="111" t="s">
        <v>457</v>
      </c>
      <c r="B67" s="111" t="s">
        <v>7</v>
      </c>
      <c r="C67" s="72">
        <v>2048</v>
      </c>
      <c r="D67" s="111" t="s">
        <v>465</v>
      </c>
      <c r="E67" s="112" t="s">
        <v>466</v>
      </c>
      <c r="F67" s="12"/>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2048</v>
      </c>
      <c r="U67" s="4" t="str">
        <f>IF(LEN(Table2[[#This Row],[!Name]]) &gt; 0, Table2[[#This Row],[!Name]], "rg:None")</f>
        <v>comment</v>
      </c>
      <c r="V67" s="4" t="str">
        <f>IF(LEN(Table2[[#This Row],[!Description]]) &gt; 0, Table2[[#This Row],[!Description]], "rg:None")</f>
        <v>A comment about the rental of this component of the Rental Agreement.</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5">
      <c r="A68" s="111" t="s">
        <v>469</v>
      </c>
      <c r="B68" s="111" t="s">
        <v>4</v>
      </c>
      <c r="C68" s="72"/>
      <c r="D68" s="111" t="s">
        <v>469</v>
      </c>
      <c r="E68" s="112" t="s">
        <v>470</v>
      </c>
      <c r="F68" s="12"/>
      <c r="G68" s="18"/>
      <c r="H68" s="18"/>
      <c r="I68" s="4" t="str">
        <f t="shared" ref="I68:I69" si="10">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table</v>
      </c>
      <c r="T68" s="4" t="str">
        <f>IF(LEN(Table2[[#This Row],[!Length]]) &gt; 0, Table2[[#This Row],[!Length]], "rg:None")</f>
        <v>rg:None</v>
      </c>
      <c r="U68" s="4" t="str">
        <f>IF(LEN(Table2[[#This Row],[!Name]]) &gt; 0, Table2[[#This Row],[!Name]], "rg:None")</f>
        <v>RentalAgreementCondition</v>
      </c>
      <c r="V68" s="4" t="str">
        <f>IF(LEN(Table2[[#This Row],[!Description]]) &gt; 0, Table2[[#This Row],[!Description]], "rg:None")</f>
        <v>A condition about the rental agreement to be displayed on the Rental Agreement.</v>
      </c>
      <c r="W68" s="4" t="str">
        <f>IF(LEN(Table2[[#This Row],[!FK]])&gt;0,Table2[[#This Row],[!FK]],"rg:None")</f>
        <v>rg:None</v>
      </c>
      <c r="X68" s="14" t="str">
        <f>IF(LEN(concatif2(A:A,Table2[[#This Row],[!Table]],G:G,"Y",D:D,",")) &gt; 0,"rg:[ { 'req' : '"&amp;concatif2(A:A,Table2[[#This Row],[!Table]],G:G,"Y",D:D,"' }, { 'req': '")&amp;"'} ]","rg:[]")</f>
        <v>rg:[ { 'req' : 'id' }, { 'req': 'rentalAgreement' }, { 'req': 'conditionName'} ]</v>
      </c>
      <c r="Y68" s="4" t="str">
        <f>IF(LEN(Table2[[#This Row],[!Unique]])&gt;0,IF(Table2[[#This Row],[!Type]] = "id", "rg:None","rg:True"),"rg:None")</f>
        <v>rg:None</v>
      </c>
    </row>
    <row r="69" spans="1:25" x14ac:dyDescent="0.35">
      <c r="A69" s="111" t="s">
        <v>469</v>
      </c>
      <c r="B69" s="111" t="s">
        <v>6</v>
      </c>
      <c r="C69" s="72"/>
      <c r="D69" s="111" t="s">
        <v>6</v>
      </c>
      <c r="E69" s="113" t="s">
        <v>471</v>
      </c>
      <c r="F69" s="12"/>
      <c r="G69" s="154" t="s">
        <v>60</v>
      </c>
      <c r="H69" s="154" t="s">
        <v>60</v>
      </c>
      <c r="I69" s="4" t="str">
        <f t="shared" si="10"/>
        <v>Defs</v>
      </c>
      <c r="J69" s="4" t="str">
        <f>IF(Table2[[#This Row],[!Type]]=J$1, J$1,"rg:None")</f>
        <v>rg:None</v>
      </c>
      <c r="K69" s="4" t="str">
        <f>IF(Table2[[#This Row],[!Type]]=K$1, K$1,"rg:None")</f>
        <v>rg:None</v>
      </c>
      <c r="L69" s="4" t="str">
        <f>IF(Table2[[#This Row],[!Type]]=L$1, L$1,"rg:None")</f>
        <v>rg:None</v>
      </c>
      <c r="M69" s="4" t="str">
        <f>IF(Table2[[#This Row],[!Type]]=M$1, M$1,"rg:None")</f>
        <v>id</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id</v>
      </c>
      <c r="V69" s="4" t="str">
        <f>IF(LEN(Table2[[#This Row],[!Description]]) &gt; 0, Table2[[#This Row],[!Description]], "rg:None")</f>
        <v>A system-generated unique identifier for a RentalAgreementCondition</v>
      </c>
      <c r="W69" s="4" t="str">
        <f>IF(LEN(Table2[[#This Row],[!FK]])&gt;0,Table2[[#This Row],[!FK]],"rg:None")</f>
        <v>rg:None</v>
      </c>
      <c r="X69" s="14" t="str">
        <f>IF(LEN(concatif2(A:A,Table2[[#This Row],[!Table]],G:G,"Y",D:D,",")) &gt; 0,"rg:[ { 'req' : '"&amp;concatif2(A:A,Table2[[#This Row],[!Table]],G:G,"Y",D:D,"' }, { 'req': '")&amp;"'} ]","rg:[]")</f>
        <v>rg:[ { 'req' : 'id' }, { 'req': 'rentalAgreement' }, { 'req': 'conditionName'} ]</v>
      </c>
      <c r="Y69" s="4" t="str">
        <f>IF(LEN(Table2[[#This Row],[!Unique]])&gt;0,IF(Table2[[#This Row],[!Type]] = "id", "rg:None","rg:True"),"rg:None")</f>
        <v>rg:None</v>
      </c>
    </row>
    <row r="70" spans="1:25" x14ac:dyDescent="0.35">
      <c r="A70" s="111" t="s">
        <v>469</v>
      </c>
      <c r="B70" s="111" t="s">
        <v>8</v>
      </c>
      <c r="C70" s="72"/>
      <c r="D70" s="111" t="s">
        <v>196</v>
      </c>
      <c r="E70" s="129" t="s">
        <v>534</v>
      </c>
      <c r="F70" s="27" t="s">
        <v>195</v>
      </c>
      <c r="G70" s="154" t="s">
        <v>60</v>
      </c>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rentalAgreement</v>
      </c>
      <c r="V70" s="4" t="str">
        <f>IF(LEN(Table2[[#This Row],[!Description]]) &gt; 0, Table2[[#This Row],[!Description]], "rg:None")</f>
        <v>A foreign key reference to the system-generated unique identifier for a Rental Agreement</v>
      </c>
      <c r="W70" s="4" t="str">
        <f>IF(LEN(Table2[[#This Row],[!FK]])&gt;0,Table2[[#This Row],[!FK]],"rg:None")</f>
        <v>RentalAgreement</v>
      </c>
      <c r="X70" s="14" t="str">
        <f>IF(LEN(concatif2(A:A,Table2[[#This Row],[!Table]],G:G,"Y",D:D,",")) &gt; 0,"rg:[ { 'req' : '"&amp;concatif2(A:A,Table2[[#This Row],[!Table]],G:G,"Y",D:D,"' }, { 'req': '")&amp;"'} ]","rg:[]")</f>
        <v>rg:[ { 'req' : 'id' }, { 'req': 'rentalAgreement' }, { 'req': 'conditionName'} ]</v>
      </c>
      <c r="Y70" s="4" t="str">
        <f>IF(LEN(Table2[[#This Row],[!Unique]])&gt;0,IF(Table2[[#This Row],[!Type]] = "id", "rg:None","rg:True"),"rg:None")</f>
        <v>rg:None</v>
      </c>
    </row>
    <row r="71" spans="1:25" x14ac:dyDescent="0.35">
      <c r="A71" s="111" t="s">
        <v>469</v>
      </c>
      <c r="B71" s="111" t="s">
        <v>7</v>
      </c>
      <c r="C71" s="72">
        <v>150</v>
      </c>
      <c r="D71" s="111" t="s">
        <v>472</v>
      </c>
      <c r="E71" s="112" t="s">
        <v>473</v>
      </c>
      <c r="F71" s="12"/>
      <c r="G71" s="154" t="s">
        <v>60</v>
      </c>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150</v>
      </c>
      <c r="U71" s="4" t="str">
        <f>IF(LEN(Table2[[#This Row],[!Name]]) &gt; 0, Table2[[#This Row],[!Name]], "rg:None")</f>
        <v>conditionName</v>
      </c>
      <c r="V71" s="4" t="str">
        <f>IF(LEN(Table2[[#This Row],[!Description]]) &gt; 0, Table2[[#This Row],[!Description]], "rg:None")</f>
        <v>The name of the condition to be placed onto the Rental Agreement.</v>
      </c>
      <c r="W71" s="4" t="str">
        <f>IF(LEN(Table2[[#This Row],[!FK]])&gt;0,Table2[[#This Row],[!FK]],"rg:None")</f>
        <v>rg:None</v>
      </c>
      <c r="X71" s="14" t="str">
        <f>IF(LEN(concatif2(A:A,Table2[[#This Row],[!Table]],G:G,"Y",D:D,",")) &gt; 0,"rg:[ { 'req' : '"&amp;concatif2(A:A,Table2[[#This Row],[!Table]],G:G,"Y",D:D,"' }, { 'req': '")&amp;"'} ]","rg:[]")</f>
        <v>rg:[ { 'req' : 'id' }, { 'req': 'rentalAgreement' }, { 'req': 'conditionName'} ]</v>
      </c>
      <c r="Y71" s="4" t="str">
        <f>IF(LEN(Table2[[#This Row],[!Unique]])&gt;0,IF(Table2[[#This Row],[!Type]] = "id", "rg:None","rg:True"),"rg:None")</f>
        <v>rg:None</v>
      </c>
    </row>
    <row r="72" spans="1:25" x14ac:dyDescent="0.35">
      <c r="A72" s="111" t="s">
        <v>469</v>
      </c>
      <c r="B72" s="111" t="s">
        <v>7</v>
      </c>
      <c r="C72" s="72">
        <v>2048</v>
      </c>
      <c r="D72" s="111" t="s">
        <v>465</v>
      </c>
      <c r="E72" s="112" t="s">
        <v>474</v>
      </c>
      <c r="F72" s="12"/>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condition to be applied to the Rental Agreement.</v>
      </c>
      <c r="W72" s="4" t="str">
        <f>IF(LEN(Table2[[#This Row],[!FK]])&gt;0,Table2[[#This Row],[!FK]],"rg:None")</f>
        <v>rg:None</v>
      </c>
      <c r="X72" s="14" t="str">
        <f>IF(LEN(concatif2(A:A,Table2[[#This Row],[!Table]],G:G,"Y",D:D,",")) &gt; 0,"rg:[ { 'req' : '"&amp;concatif2(A:A,Table2[[#This Row],[!Table]],G:G,"Y",D:D,"' }, { 'req': '")&amp;"'} ]","rg:[]")</f>
        <v>rg:[ { 'req' : 'id' }, { 'req': 'rentalAgreement' }, { 'req': 'conditionName'} ]</v>
      </c>
      <c r="Y72" s="4" t="str">
        <f>IF(LEN(Table2[[#This Row],[!Unique]])&gt;0,IF(Table2[[#This Row],[!Type]] = "id", "rg:None","rg:True"),"rg:None")</f>
        <v>rg:None</v>
      </c>
    </row>
    <row r="73" spans="1:25" ht="28.8" x14ac:dyDescent="0.35">
      <c r="A73" s="27" t="s">
        <v>197</v>
      </c>
      <c r="B73" s="26" t="s">
        <v>4</v>
      </c>
      <c r="C73" s="72"/>
      <c r="D73" s="27" t="s">
        <v>197</v>
      </c>
      <c r="E73" s="60" t="s">
        <v>358</v>
      </c>
      <c r="F73" s="12"/>
      <c r="G73" s="18"/>
      <c r="H73" s="18"/>
      <c r="I73" s="4" t="str">
        <f t="shared" si="5"/>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TimeRecord</v>
      </c>
      <c r="V73" s="4" t="str">
        <f>IF(LEN(Table2[[#This Row],[!Description]]) &gt; 0, Table2[[#This Row],[!Description]], "rg:None")</f>
        <v>A record of time worked for a piece of equipment hired for a specific project within a Local Area.</v>
      </c>
      <c r="W73" s="4" t="str">
        <f>IF(LEN(Table2[[#This Row],[!FK]])&gt;0,Table2[[#This Row],[!FK]],"rg:None")</f>
        <v>rg:None</v>
      </c>
      <c r="X73" s="14" t="str">
        <f>IF(LEN(concatif2(A:A,Table2[[#This Row],[!Table]],G:G,"Y",D:D,",")) &gt; 0,"rg:[ { 'req' : '"&amp;concatif2(A:A,Table2[[#This Row],[!Table]],G:G,"Y",D:D,"' }, { 'req': '")&amp;"'} ]","rg:[]")</f>
        <v>rg:[ { 'req' : 'id' }, { 'req': 'rentalAgreement' }, { 'req': 'workedDate' }, { 'req': 'hours'} ]</v>
      </c>
      <c r="Y73" s="4" t="str">
        <f>IF(LEN(Table2[[#This Row],[!Unique]])&gt;0,IF(Table2[[#This Row],[!Type]] = "id", "rg:None","rg:True"),"rg:None")</f>
        <v>rg:None</v>
      </c>
    </row>
    <row r="74" spans="1:25" x14ac:dyDescent="0.35">
      <c r="A74" s="27" t="s">
        <v>197</v>
      </c>
      <c r="B74" s="23" t="s">
        <v>6</v>
      </c>
      <c r="C74" s="72"/>
      <c r="D74" s="23" t="s">
        <v>6</v>
      </c>
      <c r="E74" s="54" t="s">
        <v>291</v>
      </c>
      <c r="F74" s="12"/>
      <c r="G74" s="25" t="s">
        <v>60</v>
      </c>
      <c r="H74" s="154" t="s">
        <v>60</v>
      </c>
      <c r="I74" s="4" t="str">
        <f t="shared" si="5"/>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TimeRecord</v>
      </c>
      <c r="W74" s="4" t="str">
        <f>IF(LEN(Table2[[#This Row],[!FK]])&gt;0,Table2[[#This Row],[!FK]],"rg:None")</f>
        <v>rg:None</v>
      </c>
      <c r="X74" s="14" t="str">
        <f>IF(LEN(concatif2(A:A,Table2[[#This Row],[!Table]],G:G,"Y",D:D,",")) &gt; 0,"rg:[ { 'req' : '"&amp;concatif2(A:A,Table2[[#This Row],[!Table]],G:G,"Y",D:D,"' }, { 'req': '")&amp;"'} ]","rg:[]")</f>
        <v>rg:[ { 'req' : 'id' }, { 'req': 'rentalAgreement' }, { 'req': 'workedDate' }, { 'req': 'hours'} ]</v>
      </c>
      <c r="Y74" s="4" t="str">
        <f>IF(LEN(Table2[[#This Row],[!Unique]])&gt;0,IF(Table2[[#This Row],[!Type]] = "id", "rg:None","rg:True"),"rg:None")</f>
        <v>rg:None</v>
      </c>
    </row>
    <row r="75" spans="1:25" x14ac:dyDescent="0.35">
      <c r="A75" s="27" t="s">
        <v>197</v>
      </c>
      <c r="B75" s="26" t="s">
        <v>8</v>
      </c>
      <c r="C75" s="72"/>
      <c r="D75" s="26" t="s">
        <v>196</v>
      </c>
      <c r="E75" s="129" t="s">
        <v>534</v>
      </c>
      <c r="F75" s="27" t="s">
        <v>195</v>
      </c>
      <c r="G75" s="154" t="s">
        <v>60</v>
      </c>
      <c r="H75" s="18"/>
      <c r="I75" s="4" t="str">
        <f t="shared" si="5"/>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A foreign key reference to the system-generated unique identifier for a Rental Agreement</v>
      </c>
      <c r="W75" s="4" t="str">
        <f>IF(LEN(Table2[[#This Row],[!FK]])&gt;0,Table2[[#This Row],[!FK]],"rg:None")</f>
        <v>RentalAgreement</v>
      </c>
      <c r="X75" s="14" t="str">
        <f>IF(LEN(concatif2(A:A,Table2[[#This Row],[!Table]],G:G,"Y",D:D,",")) &gt; 0,"rg:[ { 'req' : '"&amp;concatif2(A:A,Table2[[#This Row],[!Table]],G:G,"Y",D:D,"' }, { 'req': '")&amp;"'} ]","rg:[]")</f>
        <v>rg:[ { 'req' : 'id' }, { 'req': 'rentalAgreement' }, { 'req': 'workedDate' }, { 'req': 'hours'} ]</v>
      </c>
      <c r="Y75" s="4" t="str">
        <f>IF(LEN(Table2[[#This Row],[!Unique]])&gt;0,IF(Table2[[#This Row],[!Type]] = "id", "rg:None","rg:True"),"rg:None")</f>
        <v>rg:None</v>
      </c>
    </row>
    <row r="76" spans="1:25" ht="28.8" x14ac:dyDescent="0.35">
      <c r="A76" s="111" t="s">
        <v>197</v>
      </c>
      <c r="B76" s="111" t="s">
        <v>8</v>
      </c>
      <c r="C76" s="72"/>
      <c r="D76" s="111" t="s">
        <v>484</v>
      </c>
      <c r="E76" s="112" t="s">
        <v>485</v>
      </c>
      <c r="F76" s="115" t="s">
        <v>457</v>
      </c>
      <c r="G76" s="18"/>
      <c r="H76" s="18"/>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rentalAgreementRate</v>
      </c>
      <c r="V76" s="4" t="str">
        <f>IF(LEN(Table2[[#This Row],[!Description]]) &gt; 0, Table2[[#This Row],[!Description]], "rg:None")</f>
        <v>The Rental Agreement Rate component to which this Rental Agreement applies. If null, this time applies to the equipment itself.</v>
      </c>
      <c r="W76" s="4" t="str">
        <f>IF(LEN(Table2[[#This Row],[!FK]])&gt;0,Table2[[#This Row],[!FK]],"rg:None")</f>
        <v>RentalAgreementRate</v>
      </c>
      <c r="X76" s="14" t="str">
        <f>IF(LEN(concatif2(A:A,Table2[[#This Row],[!Table]],G:G,"Y",D:D,",")) &gt; 0,"rg:[ { 'req' : '"&amp;concatif2(A:A,Table2[[#This Row],[!Table]],G:G,"Y",D:D,"' }, { 'req': '")&amp;"'} ]","rg:[]")</f>
        <v>rg:[ { 'req' : 'id' }, { 'req': 'rentalAgreement' }, { 'req': 'workedDate' }, { 'req': 'hours'} ]</v>
      </c>
      <c r="Y76" s="4" t="str">
        <f>IF(LEN(Table2[[#This Row],[!Unique]])&gt;0,IF(Table2[[#This Row],[!Type]] = "id", "rg:None","rg:True"),"rg:None")</f>
        <v>rg:None</v>
      </c>
    </row>
    <row r="77" spans="1:25" ht="28.8" x14ac:dyDescent="0.35">
      <c r="A77" s="115" t="s">
        <v>197</v>
      </c>
      <c r="B77" s="91" t="s">
        <v>12</v>
      </c>
      <c r="D77" s="91" t="s">
        <v>198</v>
      </c>
      <c r="E77" s="48" t="s">
        <v>224</v>
      </c>
      <c r="F77" s="12"/>
      <c r="G77" s="154" t="s">
        <v>60</v>
      </c>
      <c r="H77" s="18"/>
      <c r="I77" s="4" t="str">
        <f t="shared" si="5"/>
        <v>Defs</v>
      </c>
      <c r="J77" s="4" t="str">
        <f>IF(Table2[[#This Row],[!Type]]=J$1, J$1,"rg:None")</f>
        <v>rg:None</v>
      </c>
      <c r="K77" s="4" t="str">
        <f>IF(Table2[[#This Row],[!Type]]=K$1, K$1,"rg:None")</f>
        <v>rg:None</v>
      </c>
      <c r="L77" s="4" t="str">
        <f>IF(Table2[[#This Row],[!Type]]=L$1, L$1,"rg:None")</f>
        <v>datetime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workedDate</v>
      </c>
      <c r="V77" s="4" t="str">
        <f>IF(LEN(Table2[[#This Row],[!Description]]) &gt; 0, Table2[[#This Row],[!Description]], "rg:None")</f>
        <v>The date of the time record entry - the day of the entry if it is a daily entry, or a date in the week in which the work occurred if tracked weekly.</v>
      </c>
      <c r="W77" s="4" t="str">
        <f>IF(LEN(Table2[[#This Row],[!FK]])&gt;0,Table2[[#This Row],[!FK]],"rg:None")</f>
        <v>rg:None</v>
      </c>
      <c r="X77" s="14" t="str">
        <f>IF(LEN(concatif2(A:A,Table2[[#This Row],[!Table]],G:G,"Y",D:D,",")) &gt; 0,"rg:[ { 'req' : '"&amp;concatif2(A:A,Table2[[#This Row],[!Table]],G:G,"Y",D:D,"' }, { 'req': '")&amp;"'} ]","rg:[]")</f>
        <v>rg:[ { 'req' : 'id' }, { 'req': 'rentalAgreement' }, { 'req': 'workedDate' }, { 'req': 'hours'} ]</v>
      </c>
      <c r="Y77" s="4" t="str">
        <f>IF(LEN(Table2[[#This Row],[!Unique]])&gt;0,IF(Table2[[#This Row],[!Type]] = "id", "rg:None","rg:True"),"rg:None")</f>
        <v>rg:None</v>
      </c>
    </row>
    <row r="78" spans="1:25" x14ac:dyDescent="0.35">
      <c r="A78" s="27" t="s">
        <v>197</v>
      </c>
      <c r="B78" s="91" t="s">
        <v>12</v>
      </c>
      <c r="D78" s="91" t="s">
        <v>199</v>
      </c>
      <c r="E78" s="50" t="s">
        <v>348</v>
      </c>
      <c r="F78" s="12"/>
      <c r="G78" s="18"/>
      <c r="H78" s="18"/>
      <c r="I78" s="4" t="str">
        <f t="shared" si="5"/>
        <v>Defs</v>
      </c>
      <c r="J78" s="4" t="str">
        <f>IF(Table2[[#This Row],[!Type]]=J$1, J$1,"rg:None")</f>
        <v>rg:None</v>
      </c>
      <c r="K78" s="4" t="str">
        <f>IF(Table2[[#This Row],[!Type]]=K$1, K$1,"rg:None")</f>
        <v>rg:None</v>
      </c>
      <c r="L78" s="4" t="str">
        <f>IF(Table2[[#This Row],[!Type]]=L$1, L$1,"rg:None")</f>
        <v>datetime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enteredDate</v>
      </c>
      <c r="V78" s="4" t="str">
        <f>IF(LEN(Table2[[#This Row],[!Description]]) &gt; 0, Table2[[#This Row],[!Description]], "rg:None")</f>
        <v>The date-time the time record information was entered.</v>
      </c>
      <c r="W78" s="4" t="str">
        <f>IF(LEN(Table2[[#This Row],[!FK]])&gt;0,Table2[[#This Row],[!FK]],"rg:None")</f>
        <v>rg:None</v>
      </c>
      <c r="X78" s="14" t="str">
        <f>IF(LEN(concatif2(A:A,Table2[[#This Row],[!Table]],G:G,"Y",D:D,",")) &gt; 0,"rg:[ { 'req' : '"&amp;concatif2(A:A,Table2[[#This Row],[!Table]],G:G,"Y",D:D,"' }, { 'req': '")&amp;"'} ]","rg:[]")</f>
        <v>rg:[ { 'req' : 'id' }, { 'req': 'rentalAgreement' }, { 'req': 'workedDate' }, { 'req': 'hours'} ]</v>
      </c>
      <c r="Y78" s="4" t="str">
        <f>IF(LEN(Table2[[#This Row],[!Unique]])&gt;0,IF(Table2[[#This Row],[!Type]] = "id", "rg:None","rg:True"),"rg:None")</f>
        <v>rg:None</v>
      </c>
    </row>
    <row r="79" spans="1:25" ht="28.8" x14ac:dyDescent="0.35">
      <c r="A79" s="40" t="s">
        <v>197</v>
      </c>
      <c r="B79" s="40" t="s">
        <v>7</v>
      </c>
      <c r="C79" s="72">
        <v>20</v>
      </c>
      <c r="D79" s="40" t="s">
        <v>222</v>
      </c>
      <c r="E79" s="48" t="s">
        <v>223</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v>
      </c>
      <c r="U79" s="4" t="str">
        <f>IF(LEN(Table2[[#This Row],[!Name]]) &gt; 0, Table2[[#This Row],[!Name]], "rg:None")</f>
        <v>timePeriod</v>
      </c>
      <c r="V79" s="4" t="str">
        <f>IF(LEN(Table2[[#This Row],[!Description]]) &gt; 0, Table2[[#This Row],[!Description]], "rg:None")</f>
        <v>The time period of the entry - either day or week. HETS Clerk have the option of entering time records on a day-by-day or week-by-week basis.</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5">
      <c r="A80" s="27" t="s">
        <v>197</v>
      </c>
      <c r="B80" s="5" t="s">
        <v>106</v>
      </c>
      <c r="D80" s="5" t="s">
        <v>141</v>
      </c>
      <c r="E80" s="48" t="s">
        <v>225</v>
      </c>
      <c r="F80" s="12"/>
      <c r="G80" s="154" t="s">
        <v>60</v>
      </c>
      <c r="H80" s="18"/>
      <c r="I80" s="4" t="str">
        <f t="shared" ref="I80" si="11">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hours</v>
      </c>
      <c r="V80" s="4" t="str">
        <f>IF(LEN(Table2[[#This Row],[!Description]]) &gt; 0, Table2[[#This Row],[!Description]], "rg:None")</f>
        <v>The number of hours worked by the equipment.</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ht="28.8" x14ac:dyDescent="0.35">
      <c r="A81" s="82" t="s">
        <v>177</v>
      </c>
      <c r="B81" s="5" t="s">
        <v>4</v>
      </c>
      <c r="D81" s="82" t="s">
        <v>177</v>
      </c>
      <c r="E81" s="76" t="s">
        <v>359</v>
      </c>
      <c r="F81" s="5" t="s">
        <v>5</v>
      </c>
      <c r="G81" s="4"/>
      <c r="H81" s="4"/>
      <c r="I81" s="4" t="str">
        <f t="shared" ref="I81:I89" si="12">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A piece of equipment in the HETS system. Each piece of equipment is of a specific equipment type, owned by an Owner, and is within a Local Area.</v>
      </c>
      <c r="W81" s="4" t="str">
        <f>IF(LEN(Table2[[#This Row],[!FK]])&gt;0,Table2[[#This Row],[!FK]],"rg:None")</f>
        <v>rg:None</v>
      </c>
      <c r="X81" s="14" t="str">
        <f>IF(LEN(concatif2(A:A,Table2[[#This Row],[!Table]],G:G,"Y",D:D,",")) &gt; 0,"rg:[ { 'req' : '"&amp;concatif2(A:A,Table2[[#This Row],[!Table]],G:G,"Y",D:D,"' }, { 'req': '")&amp;"'} ]","rg:[]")</f>
        <v>rg:[ { 'req' : 'id' }, { 'req': 'localArea' }, { 'req': 'districtEquipmentType' }, { 'req': 'owner' }, { 'req': 'equipmentCode' }, { 'req': 'status' }, { 'req': 'receivedDate' }, { 'req': 'lastVerifiedDate'} ]</v>
      </c>
      <c r="Y81" s="4" t="str">
        <f>IF(LEN(Table2[[#This Row],[!Unique]])&gt;0,IF(Table2[[#This Row],[!Type]] = "id", "rg:None","rg:True"),"rg:None")</f>
        <v>rg:None</v>
      </c>
    </row>
    <row r="82" spans="1:25" x14ac:dyDescent="0.35">
      <c r="A82" s="82" t="s">
        <v>177</v>
      </c>
      <c r="B82" s="5" t="s">
        <v>6</v>
      </c>
      <c r="D82" s="5" t="s">
        <v>6</v>
      </c>
      <c r="E82" s="54" t="s">
        <v>290</v>
      </c>
      <c r="F82" s="5" t="s">
        <v>5</v>
      </c>
      <c r="G82" s="4" t="s">
        <v>60</v>
      </c>
      <c r="H82" s="155" t="s">
        <v>60</v>
      </c>
      <c r="I82" s="4" t="str">
        <f t="shared" si="12"/>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4" t="str">
        <f>IF(LEN(concatif2(A:A,Table2[[#This Row],[!Table]],G:G,"Y",D:D,",")) &gt; 0,"rg:[ { 'req' : '"&amp;concatif2(A:A,Table2[[#This Row],[!Table]],G:G,"Y",D:D,"' }, { 'req': '")&amp;"'} ]","rg:[]")</f>
        <v>rg:[ { 'req' : 'id' }, { 'req': 'localArea' }, { 'req': 'districtEquipmentType' }, { 'req': 'owner' }, { 'req': 'equipmentCode' }, { 'req': 'status' }, { 'req': 'receivedDate' }, { 'req': 'lastVerifiedDate'} ]</v>
      </c>
      <c r="Y82" s="4" t="str">
        <f>IF(LEN(Table2[[#This Row],[!Unique]])&gt;0,IF(Table2[[#This Row],[!Type]] = "id", "rg:None","rg:True"),"rg:None")</f>
        <v>rg:None</v>
      </c>
    </row>
    <row r="83" spans="1:25" x14ac:dyDescent="0.35">
      <c r="A83" s="82" t="s">
        <v>177</v>
      </c>
      <c r="B83" s="5" t="s">
        <v>8</v>
      </c>
      <c r="D83" s="82" t="s">
        <v>171</v>
      </c>
      <c r="E83" s="130" t="s">
        <v>529</v>
      </c>
      <c r="F83" s="82" t="s">
        <v>149</v>
      </c>
      <c r="G83" s="155" t="s">
        <v>60</v>
      </c>
      <c r="H83" s="4"/>
      <c r="I83" s="4" t="str">
        <f t="shared" si="12"/>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A foreign key reference to the system-generated unique identifier for a Local Area</v>
      </c>
      <c r="W83" s="4" t="str">
        <f>IF(LEN(Table2[[#This Row],[!FK]])&gt;0,Table2[[#This Row],[!FK]],"rg:None")</f>
        <v>LocalArea</v>
      </c>
      <c r="X83" s="14" t="str">
        <f>IF(LEN(concatif2(A:A,Table2[[#This Row],[!Table]],G:G,"Y",D:D,",")) &gt; 0,"rg:[ { 'req' : '"&amp;concatif2(A:A,Table2[[#This Row],[!Table]],G:G,"Y",D:D,"' }, { 'req': '")&amp;"'} ]","rg:[]")</f>
        <v>rg:[ { 'req' : 'id' }, { 'req': 'localArea' }, { 'req': 'districtEquipmentType' }, { 'req': 'owner' }, { 'req': 'equipmentCode' }, { 'req': 'status' }, { 'req': 'receivedDate' }, { 'req': 'lastVerifiedDate'} ]</v>
      </c>
      <c r="Y83" s="4" t="str">
        <f>IF(LEN(Table2[[#This Row],[!Unique]])&gt;0,IF(Table2[[#This Row],[!Type]] = "id", "rg:None","rg:True"),"rg:None")</f>
        <v>rg:None</v>
      </c>
    </row>
    <row r="84" spans="1:25" x14ac:dyDescent="0.35">
      <c r="A84" s="82" t="s">
        <v>177</v>
      </c>
      <c r="B84" s="5" t="s">
        <v>8</v>
      </c>
      <c r="D84" s="137" t="s">
        <v>563</v>
      </c>
      <c r="E84" s="130" t="s">
        <v>535</v>
      </c>
      <c r="F84" s="137" t="s">
        <v>557</v>
      </c>
      <c r="G84" s="155" t="s">
        <v>60</v>
      </c>
      <c r="H84" s="4"/>
      <c r="I84" s="4" t="str">
        <f t="shared" si="12"/>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districtEquipmentType</v>
      </c>
      <c r="V84" s="4" t="str">
        <f>IF(LEN(Table2[[#This Row],[!Description]]) &gt; 0, Table2[[#This Row],[!Description]], "rg:None")</f>
        <v>A foreign key reference to the system-generated unique identifier for a Equipment Type</v>
      </c>
      <c r="W84" s="4" t="str">
        <f>IF(LEN(Table2[[#This Row],[!FK]])&gt;0,Table2[[#This Row],[!FK]],"rg:None")</f>
        <v>DistrictEquipmentType</v>
      </c>
      <c r="X84" s="14" t="str">
        <f>IF(LEN(concatif2(A:A,Table2[[#This Row],[!Table]],G:G,"Y",D:D,",")) &gt; 0,"rg:[ { 'req' : '"&amp;concatif2(A:A,Table2[[#This Row],[!Table]],G:G,"Y",D:D,"' }, { 'req': '")&amp;"'} ]","rg:[]")</f>
        <v>rg:[ { 'req' : 'id' }, { 'req': 'localArea' }, { 'req': 'districtEquipmentType' }, { 'req': 'owner' }, { 'req': 'equipmentCode' }, { 'req': 'status' }, { 'req': 'receivedDate' }, { 'req': 'lastVerifiedDate'} ]</v>
      </c>
      <c r="Y84" s="4" t="str">
        <f>IF(LEN(Table2[[#This Row],[!Unique]])&gt;0,IF(Table2[[#This Row],[!Type]] = "id", "rg:None","rg:True"),"rg:None")</f>
        <v>rg:None</v>
      </c>
    </row>
    <row r="85" spans="1:25" x14ac:dyDescent="0.35">
      <c r="A85" s="82" t="s">
        <v>177</v>
      </c>
      <c r="B85" s="5" t="s">
        <v>8</v>
      </c>
      <c r="D85" s="82" t="s">
        <v>146</v>
      </c>
      <c r="E85" s="130" t="s">
        <v>536</v>
      </c>
      <c r="F85" s="21" t="s">
        <v>143</v>
      </c>
      <c r="G85" s="155" t="s">
        <v>60</v>
      </c>
      <c r="H85" s="4"/>
      <c r="I85" s="4" t="str">
        <f t="shared" si="12"/>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owner</v>
      </c>
      <c r="V85" s="4" t="str">
        <f>IF(LEN(Table2[[#This Row],[!Description]]) &gt; 0, Table2[[#This Row],[!Description]], "rg:None")</f>
        <v>A foreign key reference to the system-generated unique identifier for an Owner</v>
      </c>
      <c r="W85" s="4" t="str">
        <f>IF(LEN(Table2[[#This Row],[!FK]])&gt;0,Table2[[#This Row],[!FK]],"rg:None")</f>
        <v>Owner</v>
      </c>
      <c r="X85" s="14" t="str">
        <f>IF(LEN(concatif2(A:A,Table2[[#This Row],[!Table]],G:G,"Y",D:D,",")) &gt; 0,"rg:[ { 'req' : '"&amp;concatif2(A:A,Table2[[#This Row],[!Table]],G:G,"Y",D:D,"' }, { 'req': '")&amp;"'} ]","rg:[]")</f>
        <v>rg:[ { 'req' : 'id' }, { 'req': 'localArea' }, { 'req': 'districtEquipmentType' }, { 'req': 'owner' }, { 'req': 'equipmentCode' }, { 'req': 'status' }, { 'req': 'receivedDate' }, { 'req': 'lastVerifiedDate'} ]</v>
      </c>
      <c r="Y85" s="4" t="str">
        <f>IF(LEN(Table2[[#This Row],[!Unique]])&gt;0,IF(Table2[[#This Row],[!Type]] = "id", "rg:None","rg:True"),"rg:None")</f>
        <v>rg:None</v>
      </c>
    </row>
    <row r="86" spans="1:25" ht="57.6" x14ac:dyDescent="0.35">
      <c r="A86" s="82" t="s">
        <v>177</v>
      </c>
      <c r="B86" s="5" t="s">
        <v>7</v>
      </c>
      <c r="C86" s="5">
        <v>25</v>
      </c>
      <c r="D86" s="88" t="s">
        <v>446</v>
      </c>
      <c r="E86" s="76" t="s">
        <v>388</v>
      </c>
      <c r="F86" s="5" t="s">
        <v>5</v>
      </c>
      <c r="G86" s="155" t="s">
        <v>60</v>
      </c>
      <c r="H86" s="4"/>
      <c r="I86" s="4" t="str">
        <f t="shared" si="12"/>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25</v>
      </c>
      <c r="U86" s="4" t="str">
        <f>IF(LEN(Table2[[#This Row],[!Name]]) &gt; 0, Table2[[#This Row],[!Name]], "rg:None")</f>
        <v>equipmentCode</v>
      </c>
      <c r="V86"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86" s="4" t="str">
        <f>IF(LEN(Table2[[#This Row],[!FK]])&gt;0,Table2[[#This Row],[!FK]],"rg:None")</f>
        <v>rg:None</v>
      </c>
      <c r="X86" s="14" t="str">
        <f>IF(LEN(concatif2(A:A,Table2[[#This Row],[!Table]],G:G,"Y",D:D,",")) &gt; 0,"rg:[ { 'req' : '"&amp;concatif2(A:A,Table2[[#This Row],[!Table]],G:G,"Y",D:D,"' }, { 'req': '")&amp;"'} ]","rg:[]")</f>
        <v>rg:[ { 'req' : 'id' }, { 'req': 'localArea' }, { 'req': 'districtEquipmentType' }, { 'req': 'owner' }, { 'req': 'equipmentCode' }, { 'req': 'status' }, { 'req': 'receivedDate' }, { 'req': 'lastVerifiedDate'} ]</v>
      </c>
      <c r="Y86" s="4" t="str">
        <f>IF(LEN(Table2[[#This Row],[!Unique]])&gt;0,IF(Table2[[#This Row],[!Type]] = "id", "rg:None","rg:True"),"rg:None")</f>
        <v>rg:None</v>
      </c>
    </row>
    <row r="87" spans="1:25" ht="28.8" x14ac:dyDescent="0.35">
      <c r="A87" s="82" t="s">
        <v>177</v>
      </c>
      <c r="B87" s="5" t="s">
        <v>7</v>
      </c>
      <c r="C87" s="5">
        <v>50</v>
      </c>
      <c r="D87" s="92" t="s">
        <v>226</v>
      </c>
      <c r="E87" s="93" t="s">
        <v>227</v>
      </c>
      <c r="F87" s="5" t="s">
        <v>5</v>
      </c>
      <c r="G87" s="155" t="s">
        <v>60</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status</v>
      </c>
      <c r="V87" s="4" t="str">
        <f>IF(LEN(Table2[[#This Row],[!Description]]) &gt; 0, Table2[[#This Row],[!Description]], "rg:None")</f>
        <v>The current status of the equipment in a UI-controlled string. Initial values are Pending, Approved and Archived, but other values may be added.</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5">
      <c r="A88" s="82" t="s">
        <v>177</v>
      </c>
      <c r="B88" s="82" t="s">
        <v>12</v>
      </c>
      <c r="D88" s="82" t="s">
        <v>182</v>
      </c>
      <c r="E88" s="93" t="s">
        <v>228</v>
      </c>
      <c r="F88" s="5" t="s">
        <v>5</v>
      </c>
      <c r="G88" s="155" t="s">
        <v>60</v>
      </c>
      <c r="H88" s="4"/>
      <c r="I88" s="4" t="str">
        <f>IF(LEN(A88) &gt; 0,"Defs","-")</f>
        <v>Defs</v>
      </c>
      <c r="J88" s="4" t="str">
        <f>IF(Table2[[#This Row],[!Type]]=J$1, J$1,"rg:None")</f>
        <v>rg:None</v>
      </c>
      <c r="K88" s="4" t="str">
        <f>IF(Table2[[#This Row],[!Type]]=K$1, K$1,"rg:None")</f>
        <v>rg:None</v>
      </c>
      <c r="L88" s="4" t="str">
        <f>IF(Table2[[#This Row],[!Type]]=L$1, L$1,"rg:None")</f>
        <v>datetime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receivedDate</v>
      </c>
      <c r="V88" s="4" t="str">
        <f>IF(LEN(Table2[[#This Row],[!Description]]) &gt; 0, Table2[[#This Row],[!Description]], "rg:None")</f>
        <v>The date the piece of equipment was first received and recorded in HETS.</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ht="28.8" x14ac:dyDescent="0.35">
      <c r="A89" s="82" t="s">
        <v>177</v>
      </c>
      <c r="B89" s="82" t="s">
        <v>12</v>
      </c>
      <c r="D89" s="82" t="s">
        <v>181</v>
      </c>
      <c r="E89" s="93" t="s">
        <v>229</v>
      </c>
      <c r="F89" s="5" t="s">
        <v>5</v>
      </c>
      <c r="G89" s="4"/>
      <c r="H89" s="4"/>
      <c r="I89" s="4" t="str">
        <f t="shared" si="12"/>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ht="28.8" x14ac:dyDescent="0.35">
      <c r="A90" s="82" t="s">
        <v>177</v>
      </c>
      <c r="B90" s="94" t="s">
        <v>12</v>
      </c>
      <c r="D90" s="94" t="s">
        <v>207</v>
      </c>
      <c r="E90" s="93" t="s">
        <v>230</v>
      </c>
      <c r="F90" s="5" t="s">
        <v>5</v>
      </c>
      <c r="G90" s="155" t="s">
        <v>60</v>
      </c>
      <c r="H90" s="4"/>
      <c r="I90" s="4" t="str">
        <f t="shared" ref="I90:I114" si="13">IF(LEN(A90) &gt; 0,"Defs","-")</f>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lastVerifiedDate</v>
      </c>
      <c r="V90" s="4" t="str">
        <f>IF(LEN(Table2[[#This Row],[!Description]]) &gt; 0, Table2[[#This Row],[!Description]], "rg:None")</f>
        <v>The date the equipment was last verified by the HETS Clerk as being still in service in the Local Area and available for the HETS Programme.</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ht="43.2" x14ac:dyDescent="0.35">
      <c r="A91" s="61" t="s">
        <v>177</v>
      </c>
      <c r="B91" s="61" t="s">
        <v>9</v>
      </c>
      <c r="C91" s="72"/>
      <c r="D91" s="61" t="s">
        <v>374</v>
      </c>
      <c r="E91" s="60" t="s">
        <v>385</v>
      </c>
      <c r="F91" s="12"/>
      <c r="G91" s="18"/>
      <c r="H91" s="18"/>
      <c r="I91" s="4" t="str">
        <f>IF(LEN(A91) &gt; 0,"Defs","-")</f>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isInformationUpdateNeeded</v>
      </c>
      <c r="V91"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1" s="4" t="str">
        <f>IF(LEN(Table2[[#This Row],[!FK]])&gt;0,Table2[[#This Row],[!FK]],"rg:None")</f>
        <v>rg:None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28.8" x14ac:dyDescent="0.35">
      <c r="A92" s="61" t="s">
        <v>177</v>
      </c>
      <c r="B92" s="61" t="s">
        <v>7</v>
      </c>
      <c r="C92" s="72">
        <v>2048</v>
      </c>
      <c r="D92" s="61" t="s">
        <v>375</v>
      </c>
      <c r="E92" s="60" t="s">
        <v>376</v>
      </c>
      <c r="F92" s="12"/>
      <c r="G92" s="18"/>
      <c r="H92" s="18"/>
      <c r="I92" s="4" t="str">
        <f>IF(LEN(A92) &gt; 0,"Defs","-")</f>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informationUpdateNeededReason</v>
      </c>
      <c r="V92" s="4" t="str">
        <f>IF(LEN(Table2[[#This Row],[!Description]]) &gt; 0, Table2[[#This Row],[!Description]], "rg:None")</f>
        <v>A note about why the needed information/status update that is needed about the equipment.</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5">
      <c r="A93" s="82" t="s">
        <v>177</v>
      </c>
      <c r="B93" s="5" t="s">
        <v>7</v>
      </c>
      <c r="C93" s="5">
        <v>20</v>
      </c>
      <c r="D93" s="78" t="s">
        <v>231</v>
      </c>
      <c r="E93" s="93" t="s">
        <v>232</v>
      </c>
      <c r="F93" s="5" t="s">
        <v>5</v>
      </c>
      <c r="G93" s="4"/>
      <c r="H93" s="4"/>
      <c r="I93" s="4" t="str">
        <f t="shared" si="13"/>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20</v>
      </c>
      <c r="U93" s="4" t="str">
        <f>IF(LEN(Table2[[#This Row],[!Name]]) &gt; 0, Table2[[#This Row],[!Name]], "rg:None")</f>
        <v>licencePlate</v>
      </c>
      <c r="V93" s="4" t="str">
        <f>IF(LEN(Table2[[#This Row],[!Description]]) &gt; 0, Table2[[#This Row],[!Description]], "rg:None")</f>
        <v>The licence plate (if any) of the piece of equipment, as entered by the HETS Clerk.</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5">
      <c r="A94" s="82" t="s">
        <v>177</v>
      </c>
      <c r="B94" s="5" t="s">
        <v>7</v>
      </c>
      <c r="C94" s="5">
        <v>50</v>
      </c>
      <c r="D94" s="5" t="s">
        <v>129</v>
      </c>
      <c r="E94" s="93" t="s">
        <v>233</v>
      </c>
      <c r="F94" s="5" t="s">
        <v>5</v>
      </c>
      <c r="G94" s="4"/>
      <c r="H94" s="4"/>
      <c r="I94" s="4" t="str">
        <f t="shared" si="13"/>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make</v>
      </c>
      <c r="V94" s="4" t="str">
        <f>IF(LEN(Table2[[#This Row],[!Description]]) &gt; 0, Table2[[#This Row],[!Description]], "rg:None")</f>
        <v>The make of the piece of equipment, as provided by the Equipment Owner.</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5">
      <c r="A95" s="82" t="s">
        <v>177</v>
      </c>
      <c r="B95" s="5" t="s">
        <v>7</v>
      </c>
      <c r="C95" s="5">
        <v>50</v>
      </c>
      <c r="D95" s="5" t="s">
        <v>130</v>
      </c>
      <c r="E95" s="93" t="s">
        <v>234</v>
      </c>
      <c r="F95" s="5" t="s">
        <v>5</v>
      </c>
      <c r="G95" s="4"/>
      <c r="H95" s="4"/>
      <c r="I95" s="4" t="str">
        <f t="shared" si="13"/>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model</v>
      </c>
      <c r="V95" s="4" t="str">
        <f>IF(LEN(Table2[[#This Row],[!Description]]) &gt; 0, Table2[[#This Row],[!Description]], "rg:None")</f>
        <v>The model of the piece of equipment, as provided by the Equipment Owner.</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5">
      <c r="A96" s="82" t="s">
        <v>177</v>
      </c>
      <c r="B96" s="5" t="s">
        <v>7</v>
      </c>
      <c r="C96" s="5">
        <v>15</v>
      </c>
      <c r="D96" s="5" t="s">
        <v>131</v>
      </c>
      <c r="E96" s="93" t="s">
        <v>235</v>
      </c>
      <c r="F96" s="5" t="s">
        <v>5</v>
      </c>
      <c r="G96" s="4"/>
      <c r="H96" s="4"/>
      <c r="I96" s="4" t="str">
        <f t="shared" si="13"/>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15</v>
      </c>
      <c r="U96" s="4" t="str">
        <f>IF(LEN(Table2[[#This Row],[!Name]]) &gt; 0, Table2[[#This Row],[!Name]], "rg:None")</f>
        <v>year</v>
      </c>
      <c r="V96" s="4" t="str">
        <f>IF(LEN(Table2[[#This Row],[!Description]]) &gt; 0, Table2[[#This Row],[!Description]], "rg:None")</f>
        <v>The model year of the piece of equipment, as provided by the Equipment Owner.</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5">
      <c r="A97" s="82" t="s">
        <v>177</v>
      </c>
      <c r="B97" s="5" t="s">
        <v>7</v>
      </c>
      <c r="C97" s="5">
        <v>255</v>
      </c>
      <c r="D97" s="5" t="s">
        <v>132</v>
      </c>
      <c r="E97" s="79" t="s">
        <v>421</v>
      </c>
      <c r="F97" s="5" t="s">
        <v>5</v>
      </c>
      <c r="G97" s="4"/>
      <c r="H97" s="4"/>
      <c r="I97" s="4" t="str">
        <f t="shared" si="13"/>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operator</v>
      </c>
      <c r="V97" s="4" t="str">
        <f>IF(LEN(Table2[[#This Row],[!Description]]) &gt; 0, Table2[[#This Row],[!Description]], "rg:None")</f>
        <v>TO BE REVIEWED WITH THE BUSINESS - WHAT IS THIS?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5">
      <c r="A98" s="82" t="s">
        <v>177</v>
      </c>
      <c r="B98" s="5" t="s">
        <v>106</v>
      </c>
      <c r="D98" s="5" t="s">
        <v>133</v>
      </c>
      <c r="E98" s="79" t="s">
        <v>421</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payRate</v>
      </c>
      <c r="V98" s="4" t="str">
        <f>IF(LEN(Table2[[#This Row],[!Description]]) &gt; 0, Table2[[#This Row],[!Description]], "rg:None")</f>
        <v>TO BE REVIEWED WITH THE BUSINESS - WHAT IS THIS?</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5">
      <c r="A99" s="82" t="s">
        <v>177</v>
      </c>
      <c r="B99" s="5" t="s">
        <v>7</v>
      </c>
      <c r="C99" s="5">
        <v>255</v>
      </c>
      <c r="D99" s="5" t="s">
        <v>135</v>
      </c>
      <c r="E99" s="79" t="s">
        <v>421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refuseRate</v>
      </c>
      <c r="V99" s="4" t="str">
        <f>IF(LEN(Table2[[#This Row],[!Description]]) &gt; 0, Table2[[#This Row],[!Description]], "rg:None")</f>
        <v>TO BE REVIEWED WITH THE BUSINESS - WHAT IS THIS?</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72" x14ac:dyDescent="0.35">
      <c r="A100" s="82" t="s">
        <v>177</v>
      </c>
      <c r="B100" s="5" t="s">
        <v>7</v>
      </c>
      <c r="C100" s="5">
        <v>100</v>
      </c>
      <c r="D100" s="88" t="s">
        <v>447</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100</v>
      </c>
      <c r="U100" s="4" t="str">
        <f>IF(LEN(Table2[[#This Row],[!Name]]) &gt; 0, Table2[[#This Row],[!Name]], "rg:None")</f>
        <v>serialNumber</v>
      </c>
      <c r="V10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5">
      <c r="A101" s="82" t="s">
        <v>177</v>
      </c>
      <c r="B101" s="5" t="s">
        <v>7</v>
      </c>
      <c r="C101" s="5">
        <v>128</v>
      </c>
      <c r="D101" s="5" t="s">
        <v>137</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128</v>
      </c>
      <c r="U101" s="4" t="str">
        <f>IF(LEN(Table2[[#This Row],[!Name]]) &gt; 0, Table2[[#This Row],[!Name]], "rg:None")</f>
        <v>size</v>
      </c>
      <c r="V101" s="4" t="str">
        <f>IF(LEN(Table2[[#This Row],[!Description]]) &gt; 0, Table2[[#This Row],[!Description]], "rg:None")</f>
        <v>The size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5">
      <c r="A102" s="82" t="s">
        <v>177</v>
      </c>
      <c r="B102" s="82" t="s">
        <v>12</v>
      </c>
      <c r="D102" s="82" t="s">
        <v>183</v>
      </c>
      <c r="E102" s="79" t="s">
        <v>421</v>
      </c>
      <c r="F102" s="5" t="s">
        <v>5</v>
      </c>
      <c r="G102" s="4"/>
      <c r="H102" s="4"/>
      <c r="I102" s="4" t="str">
        <f t="shared" si="13"/>
        <v>Defs</v>
      </c>
      <c r="J102" s="4" t="str">
        <f>IF(Table2[[#This Row],[!Type]]=J$1, J$1,"rg:None")</f>
        <v>rg:None</v>
      </c>
      <c r="K102" s="4" t="str">
        <f>IF(Table2[[#This Row],[!Type]]=K$1, K$1,"rg:None")</f>
        <v>rg:None</v>
      </c>
      <c r="L102" s="4" t="str">
        <f>IF(Table2[[#This Row],[!Type]]=L$1, L$1,"rg:None")</f>
        <v>datetime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toDate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ht="43.2" x14ac:dyDescent="0.35">
      <c r="A103" s="82" t="s">
        <v>177</v>
      </c>
      <c r="B103" s="157" t="s">
        <v>13</v>
      </c>
      <c r="D103" s="82" t="s">
        <v>186</v>
      </c>
      <c r="E103" s="96" t="s">
        <v>239</v>
      </c>
      <c r="F103" s="5" t="s">
        <v>5</v>
      </c>
      <c r="G103" s="4"/>
      <c r="H103" s="4"/>
      <c r="I103" s="4" t="str">
        <f t="shared" ref="I103:I109" si="14">IF(LEN(A103) &gt; 0,"Defs","-")</f>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integer</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blockNumber</v>
      </c>
      <c r="V103" s="4" t="str">
        <f>IF(LEN(Table2[[#This Row],[!Description]]) &gt; 0, Table2[[#This Row],[!Description]], "rg:None")</f>
        <v>The current block number for the piece of equipment as calculated by the Seniority Algorthm for this equipment type in the local area. As currently defined y the business  - 1, 2 or Open</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ht="57.6" x14ac:dyDescent="0.35">
      <c r="A104" s="82" t="s">
        <v>177</v>
      </c>
      <c r="B104" s="95" t="s">
        <v>106</v>
      </c>
      <c r="D104" s="80" t="s">
        <v>136</v>
      </c>
      <c r="E104" s="96" t="s">
        <v>240</v>
      </c>
      <c r="F104" s="5" t="s">
        <v>5</v>
      </c>
      <c r="G104" s="4"/>
      <c r="H104" s="4"/>
      <c r="I104" s="4" t="str">
        <f t="shared" si="14"/>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seniority</v>
      </c>
      <c r="V10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ht="43.2" x14ac:dyDescent="0.35">
      <c r="A105" s="73" t="s">
        <v>177</v>
      </c>
      <c r="B105" s="73" t="s">
        <v>13</v>
      </c>
      <c r="C105" s="72"/>
      <c r="D105" s="73" t="s">
        <v>444</v>
      </c>
      <c r="E105" s="74" t="s">
        <v>445</v>
      </c>
      <c r="F105" s="12"/>
      <c r="G105" s="18"/>
      <c r="H105" s="18"/>
      <c r="I105" s="4" t="str">
        <f>IF(LEN(A105) &gt; 0,"Defs","-")</f>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integer</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numberInBlock</v>
      </c>
      <c r="V10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43.2" x14ac:dyDescent="0.35">
      <c r="A106" s="69" t="s">
        <v>177</v>
      </c>
      <c r="B106" s="69" t="s">
        <v>9</v>
      </c>
      <c r="C106" s="72"/>
      <c r="D106" s="69" t="s">
        <v>433</v>
      </c>
      <c r="E106" s="70" t="s">
        <v>434</v>
      </c>
      <c r="F106" s="12"/>
      <c r="G106" s="18"/>
      <c r="H106" s="18"/>
      <c r="I106" s="4" t="str">
        <f t="shared" si="14"/>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isSeniorityOverridden</v>
      </c>
      <c r="V10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28.8" x14ac:dyDescent="0.35">
      <c r="A107" s="69" t="s">
        <v>177</v>
      </c>
      <c r="B107" s="69" t="s">
        <v>7</v>
      </c>
      <c r="C107" s="72">
        <v>2048</v>
      </c>
      <c r="D107" s="69" t="s">
        <v>432</v>
      </c>
      <c r="E107" s="70" t="s">
        <v>435</v>
      </c>
      <c r="F107" s="12"/>
      <c r="G107" s="18"/>
      <c r="H107" s="18"/>
      <c r="I107" s="4" t="str">
        <f t="shared" si="14"/>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2048</v>
      </c>
      <c r="U107" s="4" t="str">
        <f>IF(LEN(Table2[[#This Row],[!Name]]) &gt; 0, Table2[[#This Row],[!Name]], "rg:None")</f>
        <v>seniorityOverrideReason</v>
      </c>
      <c r="V107" s="4" t="str">
        <f>IF(LEN(Table2[[#This Row],[!Description]]) &gt; 0, Table2[[#This Row],[!Description]], "rg:None")</f>
        <v>A text reason for why the piece of equipments underlying data was overridden to change their seniority number.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28.8" x14ac:dyDescent="0.35">
      <c r="A108" s="61" t="s">
        <v>177</v>
      </c>
      <c r="B108" s="61" t="s">
        <v>12</v>
      </c>
      <c r="C108" s="72"/>
      <c r="D108" s="61" t="s">
        <v>391</v>
      </c>
      <c r="E108" s="60" t="s">
        <v>392</v>
      </c>
      <c r="F108" s="12"/>
      <c r="G108" s="18"/>
      <c r="H108" s="18"/>
      <c r="I108" s="4" t="str">
        <f t="shared" si="14"/>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seniorityEffectiveDate</v>
      </c>
      <c r="V108" s="4" t="str">
        <f>IF(LEN(Table2[[#This Row],[!Description]]) &gt; 0, Table2[[#This Row],[!Description]], "rg:None")</f>
        <v>The time the seniority data in the record went into effect. Used to populate the SeniorityAudit table when the seniority data is next updated.</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5">
      <c r="A109" s="82" t="s">
        <v>177</v>
      </c>
      <c r="B109" s="5" t="s">
        <v>106</v>
      </c>
      <c r="D109" s="80" t="s">
        <v>389</v>
      </c>
      <c r="E109" s="93" t="s">
        <v>236</v>
      </c>
      <c r="F109" s="5" t="s">
        <v>5</v>
      </c>
      <c r="G109" s="4"/>
      <c r="H109" s="4"/>
      <c r="I109" s="4" t="str">
        <f t="shared" si="14"/>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yearsOfService</v>
      </c>
      <c r="V109" s="4" t="str">
        <f>IF(LEN(Table2[[#This Row],[!Description]]) &gt; 0, Table2[[#This Row],[!Description]], "rg:None")</f>
        <v>The number of years of active service of this piece of equipment at the time seniority is calculated - April 1 of the current FY.</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5">
      <c r="A110" s="82" t="s">
        <v>177</v>
      </c>
      <c r="B110" s="97" t="s">
        <v>106</v>
      </c>
      <c r="D110" s="95" t="s">
        <v>241</v>
      </c>
      <c r="E110" s="96" t="s">
        <v>242</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serviceHoursLastYear</v>
      </c>
      <c r="V110" s="4" t="str">
        <f>IF(LEN(Table2[[#This Row],[!Description]]) &gt; 0, Table2[[#This Row],[!Description]], "rg:None")</f>
        <v>Number of hours of service by this piece of equipment in the previous fiscal year</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5">
      <c r="A111" s="82" t="s">
        <v>177</v>
      </c>
      <c r="B111" s="5" t="s">
        <v>106</v>
      </c>
      <c r="D111" s="95" t="s">
        <v>243</v>
      </c>
      <c r="E111" s="96" t="s">
        <v>244</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serviceHoursTwoYearsAgo</v>
      </c>
      <c r="V111" s="4" t="str">
        <f>IF(LEN(Table2[[#This Row],[!Description]]) &gt; 0, Table2[[#This Row],[!Description]], "rg:None")</f>
        <v>Number of hours of service by this piece of equipment in the fiscal year before the last one - e.g. if current year is FY2018 then hours in FY2016</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28.8" x14ac:dyDescent="0.35">
      <c r="A112" s="82" t="s">
        <v>177</v>
      </c>
      <c r="B112" s="5" t="s">
        <v>106</v>
      </c>
      <c r="D112" s="95" t="s">
        <v>246</v>
      </c>
      <c r="E112" s="96" t="s">
        <v>245</v>
      </c>
      <c r="F112" s="5" t="s">
        <v>5</v>
      </c>
      <c r="G112" s="4"/>
      <c r="H112" s="4"/>
      <c r="I112" s="4" t="str">
        <f t="shared" si="13"/>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serviceHoursThreeYearsAgo</v>
      </c>
      <c r="V112" s="4" t="str">
        <f>IF(LEN(Table2[[#This Row],[!Description]]) &gt; 0, Table2[[#This Row],[!Description]], "rg:None")</f>
        <v>Number of hours of service by this piece of equipment in the fiscal year three years ago - e.g. if current year is FY2018 then hours in FY2015</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x14ac:dyDescent="0.35">
      <c r="A113" s="82" t="s">
        <v>177</v>
      </c>
      <c r="B113" s="5" t="s">
        <v>7</v>
      </c>
      <c r="C113" s="5">
        <v>50</v>
      </c>
      <c r="D113" s="95" t="s">
        <v>247</v>
      </c>
      <c r="E113" s="98" t="s">
        <v>419</v>
      </c>
      <c r="F113" s="5" t="s">
        <v>5</v>
      </c>
      <c r="G113" s="4"/>
      <c r="H113" s="4"/>
      <c r="I113" s="4" t="str">
        <f t="shared" si="13"/>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50</v>
      </c>
      <c r="U113" s="4" t="str">
        <f>IF(LEN(Table2[[#This Row],[!Name]]) &gt; 0, Table2[[#This Row],[!Name]], "rg:None")</f>
        <v>archiveCode</v>
      </c>
      <c r="V113" s="4" t="str">
        <f>IF(LEN(Table2[[#This Row],[!Description]]) &gt; 0, Table2[[#This Row],[!Description]], "rg:None")</f>
        <v>TO BE REVIEWED - A reason code indicating why a piece of equipment has been archived.</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x14ac:dyDescent="0.35">
      <c r="A114" s="82" t="s">
        <v>177</v>
      </c>
      <c r="B114" s="5" t="s">
        <v>7</v>
      </c>
      <c r="C114" s="5">
        <v>2048</v>
      </c>
      <c r="D114" s="5" t="s">
        <v>138</v>
      </c>
      <c r="E114" s="96" t="s">
        <v>248</v>
      </c>
      <c r="F114" s="5" t="s">
        <v>5</v>
      </c>
      <c r="G114" s="4"/>
      <c r="H114" s="4"/>
      <c r="I114" s="4" t="str">
        <f t="shared" si="13"/>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archiveReason</v>
      </c>
      <c r="V114" s="4" t="str">
        <f>IF(LEN(Table2[[#This Row],[!Description]]) &gt; 0, Table2[[#This Row],[!Description]], "rg:None")</f>
        <v>An optional comment about why this piece of equipment has been archived.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x14ac:dyDescent="0.35">
      <c r="A115" s="82" t="s">
        <v>177</v>
      </c>
      <c r="B115" s="82" t="s">
        <v>12</v>
      </c>
      <c r="D115" s="82" t="s">
        <v>184</v>
      </c>
      <c r="E115" s="96" t="s">
        <v>249</v>
      </c>
      <c r="F115" s="5" t="s">
        <v>5</v>
      </c>
      <c r="G115" s="4"/>
      <c r="H115" s="4"/>
      <c r="I115" s="4" t="str">
        <f t="shared" ref="I115:I132" si="15">IF(LEN(A115) &gt; 0,"Defs","-")</f>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archiveDate</v>
      </c>
      <c r="V115" s="4" t="str">
        <f>IF(LEN(Table2[[#This Row],[!Description]]) &gt; 0, Table2[[#This Row],[!Description]], "rg:None")</f>
        <v>The date on which a user most recenly marked this piece of equipment as archived.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5">
      <c r="A116" s="82" t="s">
        <v>177</v>
      </c>
      <c r="B116" s="95" t="s">
        <v>8</v>
      </c>
      <c r="D116" s="95" t="s">
        <v>250</v>
      </c>
      <c r="E116" s="96" t="s">
        <v>251</v>
      </c>
      <c r="F116" s="42" t="s">
        <v>107</v>
      </c>
      <c r="G116" s="4"/>
      <c r="H116" s="4"/>
      <c r="I116" s="4" t="str">
        <f t="shared" si="15"/>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ref</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dumpTruck</v>
      </c>
      <c r="V116" s="4" t="str">
        <f>IF(LEN(Table2[[#This Row],[!Description]]) &gt; 0, Table2[[#This Row],[!Description]], "rg:None")</f>
        <v>A link to a dump truck set if this piece of equipment is an equipment type flagged as a dump truck.</v>
      </c>
      <c r="W116" s="4" t="str">
        <f>IF(LEN(Table2[[#This Row],[!FK]])&gt;0,Table2[[#This Row],[!FK]],"rg:None")</f>
        <v>DumpTruck</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5">
      <c r="A117" s="82" t="s">
        <v>177</v>
      </c>
      <c r="B117" s="21" t="s">
        <v>19</v>
      </c>
      <c r="C117" s="72"/>
      <c r="D117" s="21" t="s">
        <v>162</v>
      </c>
      <c r="E117" s="47"/>
      <c r="F117" s="22" t="s">
        <v>144</v>
      </c>
      <c r="G117" s="18"/>
      <c r="H117" s="18"/>
      <c r="I117" s="4" t="str">
        <f t="shared" si="15"/>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links</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notes</v>
      </c>
      <c r="V117" s="4" t="str">
        <f>IF(LEN(Table2[[#This Row],[!Description]]) &gt; 0, Table2[[#This Row],[!Description]], "rg:None")</f>
        <v>rg:None</v>
      </c>
      <c r="W117" s="4" t="str">
        <f>IF(LEN(Table2[[#This Row],[!FK]])&gt;0,Table2[[#This Row],[!FK]],"rg:None")</f>
        <v>Note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5">
      <c r="A118" s="82" t="s">
        <v>177</v>
      </c>
      <c r="B118" s="21" t="s">
        <v>19</v>
      </c>
      <c r="C118" s="72"/>
      <c r="D118" s="21" t="s">
        <v>173</v>
      </c>
      <c r="E118" s="47"/>
      <c r="F118" s="81" t="s">
        <v>156</v>
      </c>
      <c r="G118" s="18"/>
      <c r="H118" s="18"/>
      <c r="I118" s="4" t="str">
        <f t="shared" si="15"/>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links</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attachments</v>
      </c>
      <c r="V118" s="4" t="str">
        <f>IF(LEN(Table2[[#This Row],[!Description]]) &gt; 0, Table2[[#This Row],[!Description]], "rg:None")</f>
        <v>rg:None</v>
      </c>
      <c r="W118" s="4" t="str">
        <f>IF(LEN(Table2[[#This Row],[!FK]])&gt;0,Table2[[#This Row],[!FK]],"rg:None")</f>
        <v>Attachment</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x14ac:dyDescent="0.35">
      <c r="A119" s="82" t="s">
        <v>177</v>
      </c>
      <c r="B119" s="21" t="s">
        <v>19</v>
      </c>
      <c r="C119" s="72"/>
      <c r="D119" s="21" t="s">
        <v>175</v>
      </c>
      <c r="E119" s="47"/>
      <c r="F119" s="82" t="s">
        <v>158</v>
      </c>
      <c r="G119" s="18"/>
      <c r="H119" s="18"/>
      <c r="I119" s="4" t="str">
        <f t="shared" si="15"/>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links</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history</v>
      </c>
      <c r="V119" s="4" t="str">
        <f>IF(LEN(Table2[[#This Row],[!Description]]) &gt; 0, Table2[[#This Row],[!Description]], "rg:None")</f>
        <v>rg:None</v>
      </c>
      <c r="W119" s="4" t="str">
        <f>IF(LEN(Table2[[#This Row],[!FK]])&gt;0,Table2[[#This Row],[!FK]],"rg:None")</f>
        <v>History</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115.2" x14ac:dyDescent="0.35">
      <c r="A120" s="5" t="s">
        <v>107</v>
      </c>
      <c r="B120" s="5" t="s">
        <v>4</v>
      </c>
      <c r="D120" s="5" t="s">
        <v>107</v>
      </c>
      <c r="E120" s="99" t="s">
        <v>390</v>
      </c>
      <c r="F120" s="5" t="s">
        <v>5</v>
      </c>
      <c r="G120" s="4"/>
      <c r="H120" s="4"/>
      <c r="I120" s="4" t="str">
        <f t="shared" si="15"/>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rg:None</v>
      </c>
      <c r="S120" s="4" t="str">
        <f>IF(Table2[[#This Row],[!Type]]=S$1, S$1,"rg:None")</f>
        <v>table</v>
      </c>
      <c r="T120" s="4" t="str">
        <f>IF(LEN(Table2[[#This Row],[!Length]]) &gt; 0, Table2[[#This Row],[!Length]], "rg:None")</f>
        <v>rg:None</v>
      </c>
      <c r="U120" s="4" t="str">
        <f>IF(LEN(Table2[[#This Row],[!Name]]) &gt; 0, Table2[[#This Row],[!Name]], "rg:None")</f>
        <v>DumpTruck</v>
      </c>
      <c r="V12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0" s="4" t="str">
        <f>IF(LEN(Table2[[#This Row],[!FK]])&gt;0,Table2[[#This Row],[!FK]],"rg:None")</f>
        <v>rg:None</v>
      </c>
      <c r="X120" s="14" t="str">
        <f>IF(LEN(concatif2(A:A,Table2[[#This Row],[!Table]],G:G,"Y",D:D,",")) &gt; 0,"rg:[ { 'req' : '"&amp;concatif2(A:A,Table2[[#This Row],[!Table]],G:G,"Y",D:D,"' }, { 'req': '")&amp;"'} ]","rg:[]")</f>
        <v>rg:[ { 'req' : 'id'} ]</v>
      </c>
      <c r="Y120" s="4" t="str">
        <f>IF(LEN(Table2[[#This Row],[!Unique]])&gt;0,IF(Table2[[#This Row],[!Type]] = "id", "rg:None","rg:True"),"rg:None")</f>
        <v>rg:None</v>
      </c>
    </row>
    <row r="121" spans="1:25" x14ac:dyDescent="0.35">
      <c r="A121" s="5" t="s">
        <v>107</v>
      </c>
      <c r="B121" s="5" t="s">
        <v>6</v>
      </c>
      <c r="D121" s="5" t="s">
        <v>6</v>
      </c>
      <c r="E121" s="54" t="s">
        <v>289</v>
      </c>
      <c r="F121" s="5" t="s">
        <v>5</v>
      </c>
      <c r="G121" s="4" t="s">
        <v>60</v>
      </c>
      <c r="H121" s="155" t="s">
        <v>60</v>
      </c>
      <c r="I121" s="4" t="str">
        <f t="shared" si="15"/>
        <v>Defs</v>
      </c>
      <c r="J121" s="4" t="str">
        <f>IF(Table2[[#This Row],[!Type]]=J$1, J$1,"rg:None")</f>
        <v>rg:None</v>
      </c>
      <c r="K121" s="4" t="str">
        <f>IF(Table2[[#This Row],[!Type]]=K$1, K$1,"rg:None")</f>
        <v>rg:None</v>
      </c>
      <c r="L121" s="4" t="str">
        <f>IF(Table2[[#This Row],[!Type]]=L$1, L$1,"rg:None")</f>
        <v>rg:None</v>
      </c>
      <c r="M121" s="4" t="str">
        <f>IF(Table2[[#This Row],[!Type]]=M$1, M$1,"rg:None")</f>
        <v>id</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id</v>
      </c>
      <c r="V121" s="4" t="str">
        <f>IF(LEN(Table2[[#This Row],[!Description]]) &gt; 0, Table2[[#This Row],[!Description]], "rg:None")</f>
        <v>A system-generated unique identifier for a DumpTruck</v>
      </c>
      <c r="W121" s="4" t="str">
        <f>IF(LEN(Table2[[#This Row],[!FK]])&gt;0,Table2[[#This Row],[!FK]],"rg:None")</f>
        <v>rg:None</v>
      </c>
      <c r="X121" s="14" t="str">
        <f>IF(LEN(concatif2(A:A,Table2[[#This Row],[!Table]],G:G,"Y",D:D,",")) &gt; 0,"rg:[ { 'req' : '"&amp;concatif2(A:A,Table2[[#This Row],[!Table]],G:G,"Y",D:D,"' }, { 'req': '")&amp;"'} ]","rg:[]")</f>
        <v>rg:[ { 'req' : 'id'} ]</v>
      </c>
      <c r="Y121" s="4" t="str">
        <f>IF(LEN(Table2[[#This Row],[!Unique]])&gt;0,IF(Table2[[#This Row],[!Type]] = "id", "rg:None","rg:True"),"rg:None")</f>
        <v>rg:None</v>
      </c>
    </row>
    <row r="122" spans="1:25" x14ac:dyDescent="0.35">
      <c r="A122" s="82" t="s">
        <v>107</v>
      </c>
      <c r="B122" s="95" t="s">
        <v>9</v>
      </c>
      <c r="D122" s="95" t="s">
        <v>252</v>
      </c>
      <c r="E122" s="96" t="s">
        <v>262</v>
      </c>
      <c r="F122" s="5" t="s">
        <v>5</v>
      </c>
      <c r="G122" s="4"/>
      <c r="H122" s="4"/>
      <c r="I122" s="4" t="str">
        <f t="shared" si="15"/>
        <v>Defs</v>
      </c>
      <c r="J122" s="4" t="str">
        <f>IF(Table2[[#This Row],[!Type]]=J$1, J$1,"rg:None")</f>
        <v>boolean</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isSingleAxle</v>
      </c>
      <c r="V122" s="4" t="str">
        <f>IF(LEN(Table2[[#This Row],[!Description]]) &gt; 0, Table2[[#This Row],[!Description]], "rg:None")</f>
        <v>True if the vehicle has a single axle. Can be false or null.</v>
      </c>
      <c r="W122" s="4" t="str">
        <f>IF(LEN(Table2[[#This Row],[!FK]])&gt;0,Table2[[#This Row],[!FK]],"rg:None")</f>
        <v>rg:None</v>
      </c>
      <c r="X122" s="14" t="str">
        <f>IF(LEN(concatif2(A:A,Table2[[#This Row],[!Table]],G:G,"Y",D:D,",")) &gt; 0,"rg:[ { 'req' : '"&amp;concatif2(A:A,Table2[[#This Row],[!Table]],G:G,"Y",D:D,"' }, { 'req': '")&amp;"'} ]","rg:[]")</f>
        <v>rg:[ { 'req' : 'id'} ]</v>
      </c>
      <c r="Y122" s="4" t="str">
        <f>IF(LEN(Table2[[#This Row],[!Unique]])&gt;0,IF(Table2[[#This Row],[!Type]] = "id", "rg:None","rg:True"),"rg:None")</f>
        <v>rg:None</v>
      </c>
    </row>
    <row r="123" spans="1:25" x14ac:dyDescent="0.35">
      <c r="A123" s="5" t="s">
        <v>107</v>
      </c>
      <c r="B123" s="95" t="s">
        <v>9</v>
      </c>
      <c r="D123" s="95" t="s">
        <v>256</v>
      </c>
      <c r="E123" s="96" t="s">
        <v>261</v>
      </c>
      <c r="F123" s="5" t="s">
        <v>5</v>
      </c>
      <c r="G123" s="4"/>
      <c r="H123" s="4"/>
      <c r="I123" s="4" t="str">
        <f t="shared" si="15"/>
        <v>Defs</v>
      </c>
      <c r="J123" s="4" t="str">
        <f>IF(Table2[[#This Row],[!Type]]=J$1, J$1,"rg:None")</f>
        <v>boolean</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isTandemAxle</v>
      </c>
      <c r="V123" s="4" t="str">
        <f>IF(LEN(Table2[[#This Row],[!Description]]) &gt; 0, Table2[[#This Row],[!Description]], "rg:None")</f>
        <v>True if the vehicle has a tandem axle. Can be false or null.</v>
      </c>
      <c r="W123" s="4" t="str">
        <f>IF(LEN(Table2[[#This Row],[!FK]])&gt;0,Table2[[#This Row],[!FK]],"rg:None")</f>
        <v>rg:None</v>
      </c>
      <c r="X123" s="14" t="str">
        <f>IF(LEN(concatif2(A:A,Table2[[#This Row],[!Table]],G:G,"Y",D:D,",")) &gt; 0,"rg:[ { 'req' : '"&amp;concatif2(A:A,Table2[[#This Row],[!Table]],G:G,"Y",D:D,"' }, { 'req': '")&amp;"'} ]","rg:[]")</f>
        <v>rg:[ { 'req' : 'id'} ]</v>
      </c>
      <c r="Y123" s="4" t="str">
        <f>IF(LEN(Table2[[#This Row],[!Unique]])&gt;0,IF(Table2[[#This Row],[!Type]] = "id", "rg:None","rg:True"),"rg:None")</f>
        <v>rg:None</v>
      </c>
    </row>
    <row r="124" spans="1:25" x14ac:dyDescent="0.35">
      <c r="A124" s="5" t="s">
        <v>107</v>
      </c>
      <c r="B124" s="95" t="s">
        <v>9</v>
      </c>
      <c r="D124" s="95" t="s">
        <v>263</v>
      </c>
      <c r="E124" s="96" t="s">
        <v>264</v>
      </c>
      <c r="F124" s="5" t="s">
        <v>5</v>
      </c>
      <c r="G124" s="4"/>
      <c r="H124" s="4"/>
      <c r="I124" s="4" t="str">
        <f>IF(LEN(A124) &gt; 0,"Defs","-")</f>
        <v>Defs</v>
      </c>
      <c r="J124" s="4" t="str">
        <f>IF(Table2[[#This Row],[!Type]]=J$1, J$1,"rg:None")</f>
        <v>boolean</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isTridem</v>
      </c>
      <c r="V124" s="4" t="str">
        <f>IF(LEN(Table2[[#This Row],[!Description]]) &gt; 0, Table2[[#This Row],[!Description]], "rg:None")</f>
        <v xml:space="preserve">True if the Dump Truck is a tridem - a three axle dump truck. Can be false or null. </v>
      </c>
      <c r="W124" s="4" t="str">
        <f>IF(LEN(Table2[[#This Row],[!FK]])&gt;0,Table2[[#This Row],[!FK]],"rg:None")</f>
        <v>rg:None</v>
      </c>
      <c r="X124" s="14" t="str">
        <f>IF(LEN(concatif2(A:A,Table2[[#This Row],[!Table]],G:G,"Y",D:D,",")) &gt; 0,"rg:[ { 'req' : '"&amp;concatif2(A:A,Table2[[#This Row],[!Table]],G:G,"Y",D:D,"' }, { 'req': '")&amp;"'} ]","rg:[]")</f>
        <v>rg:[ { 'req' : 'id'} ]</v>
      </c>
      <c r="Y124" s="4" t="str">
        <f>IF(LEN(Table2[[#This Row],[!Unique]])&gt;0,IF(Table2[[#This Row],[!Type]] = "id", "rg:None","rg:True"),"rg:None")</f>
        <v>rg:None</v>
      </c>
    </row>
    <row r="125" spans="1:25" ht="28.8" x14ac:dyDescent="0.35">
      <c r="A125" s="5" t="s">
        <v>107</v>
      </c>
      <c r="B125" s="95" t="s">
        <v>9</v>
      </c>
      <c r="D125" s="95" t="s">
        <v>257</v>
      </c>
      <c r="E125" s="96" t="s">
        <v>258</v>
      </c>
      <c r="F125" s="5" t="s">
        <v>5</v>
      </c>
      <c r="G125" s="4"/>
      <c r="H125" s="4"/>
      <c r="I125" s="4" t="str">
        <f t="shared" si="15"/>
        <v>Defs</v>
      </c>
      <c r="J125" s="4" t="str">
        <f>IF(Table2[[#This Row],[!Type]]=J$1, J$1,"rg:None")</f>
        <v>boolean</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hasPUP</v>
      </c>
      <c r="V125" s="4" t="str">
        <f>IF(LEN(Table2[[#This Row],[!Description]]) &gt; 0, Table2[[#This Row],[!Description]], "rg:None")</f>
        <v>True if the Dump Truck has a PUP trailer - a trailer with it's own hydraulic unloading system. Can be false or null.</v>
      </c>
      <c r="W125" s="4" t="str">
        <f>IF(LEN(Table2[[#This Row],[!FK]])&gt;0,Table2[[#This Row],[!FK]],"rg:None")</f>
        <v>rg:None</v>
      </c>
      <c r="X125" s="14" t="str">
        <f>IF(LEN(concatif2(A:A,Table2[[#This Row],[!Table]],G:G,"Y",D:D,",")) &gt; 0,"rg:[ { 'req' : '"&amp;concatif2(A:A,Table2[[#This Row],[!Table]],G:G,"Y",D:D,"' }, { 'req': '")&amp;"'} ]","rg:[]")</f>
        <v>rg:[ { 'req' : 'id'} ]</v>
      </c>
      <c r="Y125" s="4" t="str">
        <f>IF(LEN(Table2[[#This Row],[!Unique]])&gt;0,IF(Table2[[#This Row],[!Type]] = "id", "rg:None","rg:True"),"rg:None")</f>
        <v>rg:None</v>
      </c>
    </row>
    <row r="126" spans="1:25" x14ac:dyDescent="0.35">
      <c r="A126" s="5" t="s">
        <v>107</v>
      </c>
      <c r="B126" s="95" t="s">
        <v>9</v>
      </c>
      <c r="D126" s="95" t="s">
        <v>259</v>
      </c>
      <c r="E126" s="96" t="s">
        <v>260</v>
      </c>
      <c r="F126" s="5" t="s">
        <v>5</v>
      </c>
      <c r="G126" s="4"/>
      <c r="H126" s="4"/>
      <c r="I126" s="4" t="str">
        <f t="shared" si="15"/>
        <v>Defs</v>
      </c>
      <c r="J126" s="4" t="str">
        <f>IF(Table2[[#This Row],[!Type]]=J$1, J$1,"rg:None")</f>
        <v>boolean</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hasBellyDump</v>
      </c>
      <c r="V126" s="4" t="str">
        <f>IF(LEN(Table2[[#This Row],[!Description]]) &gt; 0, Table2[[#This Row],[!Description]], "rg:None")</f>
        <v>True if the Dump Truck has a belly dump capability. Can be false or null.</v>
      </c>
      <c r="W126" s="4" t="str">
        <f>IF(LEN(Table2[[#This Row],[!FK]])&gt;0,Table2[[#This Row],[!FK]],"rg:None")</f>
        <v>rg:None</v>
      </c>
      <c r="X126" s="14" t="str">
        <f>IF(LEN(concatif2(A:A,Table2[[#This Row],[!Table]],G:G,"Y",D:D,",")) &gt; 0,"rg:[ { 'req' : '"&amp;concatif2(A:A,Table2[[#This Row],[!Table]],G:G,"Y",D:D,"' }, { 'req': '")&amp;"'} ]","rg:[]")</f>
        <v>rg:[ { 'req' : 'id'} ]</v>
      </c>
      <c r="Y126" s="4" t="str">
        <f>IF(LEN(Table2[[#This Row],[!Unique]])&gt;0,IF(Table2[[#This Row],[!Type]] = "id", "rg:None","rg:True"),"rg:None")</f>
        <v>rg:None</v>
      </c>
    </row>
    <row r="127" spans="1:25" x14ac:dyDescent="0.35">
      <c r="A127" s="5" t="s">
        <v>107</v>
      </c>
      <c r="B127" s="95" t="s">
        <v>9</v>
      </c>
      <c r="D127" s="95" t="s">
        <v>265</v>
      </c>
      <c r="E127" s="96" t="s">
        <v>266</v>
      </c>
      <c r="F127" s="5" t="s">
        <v>5</v>
      </c>
      <c r="G127" s="4"/>
      <c r="H127" s="4"/>
      <c r="I127" s="4" t="str">
        <f t="shared" si="15"/>
        <v>Defs</v>
      </c>
      <c r="J127" s="4" t="str">
        <f>IF(Table2[[#This Row],[!Type]]=J$1, J$1,"rg:None")</f>
        <v>boolean</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hasRockBox</v>
      </c>
      <c r="V127" s="4" t="str">
        <f>IF(LEN(Table2[[#This Row],[!Description]]) &gt; 0, Table2[[#This Row],[!Description]], "rg:None")</f>
        <v>True if the Dump Truck has a rock box. Can be false or null.</v>
      </c>
      <c r="W127" s="4" t="str">
        <f>IF(LEN(Table2[[#This Row],[!FK]])&gt;0,Table2[[#This Row],[!FK]],"rg:None")</f>
        <v>rg:None</v>
      </c>
      <c r="X127" s="14" t="str">
        <f>IF(LEN(concatif2(A:A,Table2[[#This Row],[!Table]],G:G,"Y",D:D,",")) &gt; 0,"rg:[ { 'req' : '"&amp;concatif2(A:A,Table2[[#This Row],[!Table]],G:G,"Y",D:D,"' }, { 'req': '")&amp;"'} ]","rg:[]")</f>
        <v>rg:[ { 'req' : 'id'} ]</v>
      </c>
      <c r="Y127" s="4" t="str">
        <f>IF(LEN(Table2[[#This Row],[!Unique]])&gt;0,IF(Table2[[#This Row],[!Type]] = "id", "rg:None","rg:True"),"rg:None")</f>
        <v>rg:None</v>
      </c>
    </row>
    <row r="128" spans="1:25" x14ac:dyDescent="0.35">
      <c r="A128" s="5" t="s">
        <v>107</v>
      </c>
      <c r="B128" s="95" t="s">
        <v>9</v>
      </c>
      <c r="D128" s="95" t="s">
        <v>267</v>
      </c>
      <c r="E128" s="96" t="s">
        <v>268</v>
      </c>
      <c r="F128" s="5" t="s">
        <v>5</v>
      </c>
      <c r="G128" s="4"/>
      <c r="H128" s="4"/>
      <c r="I128" s="4" t="str">
        <f t="shared" si="15"/>
        <v>Defs</v>
      </c>
      <c r="J128" s="4" t="str">
        <f>IF(Table2[[#This Row],[!Type]]=J$1, J$1,"rg:None")</f>
        <v>boolean</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hasHiliftGate</v>
      </c>
      <c r="V128" s="4" t="str">
        <f>IF(LEN(Table2[[#This Row],[!Description]]) &gt; 0, Table2[[#This Row],[!Description]], "rg:None")</f>
        <v>True if the Dump Truck has a high lift gate vs. a traditional gate. Can be false or null.</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5">
      <c r="A129" s="5" t="s">
        <v>107</v>
      </c>
      <c r="B129" s="95" t="s">
        <v>9</v>
      </c>
      <c r="D129" s="95" t="s">
        <v>269</v>
      </c>
      <c r="E129" s="96" t="s">
        <v>270</v>
      </c>
      <c r="F129" s="5" t="s">
        <v>5</v>
      </c>
      <c r="G129" s="4"/>
      <c r="H129" s="4"/>
      <c r="I129" s="4" t="str">
        <f t="shared" si="15"/>
        <v>Defs</v>
      </c>
      <c r="J129" s="4" t="str">
        <f>IF(Table2[[#This Row],[!Type]]=J$1, J$1,"rg:None")</f>
        <v>boolean</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isWaterTruck</v>
      </c>
      <c r="V129" s="4" t="str">
        <f>IF(LEN(Table2[[#This Row],[!Description]]) &gt; 0, Table2[[#This Row],[!Description]], "rg:None")</f>
        <v xml:space="preserve">True if the Dump Truck is a Water Truck. Can be false or null. </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5">
      <c r="A130" s="5" t="s">
        <v>107</v>
      </c>
      <c r="B130" s="95" t="s">
        <v>9</v>
      </c>
      <c r="C130" s="95"/>
      <c r="D130" s="95" t="s">
        <v>271</v>
      </c>
      <c r="E130" s="96" t="s">
        <v>272</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hasSealcoatHitch</v>
      </c>
      <c r="V130" s="4" t="str">
        <f>IF(LEN(Table2[[#This Row],[!Description]]) &gt; 0, Table2[[#This Row],[!Description]], "rg:None")</f>
        <v>True if the Dump Truck has a hitch for using sealcoat trailers.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5">
      <c r="A131" s="5" t="s">
        <v>107</v>
      </c>
      <c r="B131" s="5" t="s">
        <v>7</v>
      </c>
      <c r="C131" s="5">
        <v>150</v>
      </c>
      <c r="D131" s="5" t="s">
        <v>108</v>
      </c>
      <c r="E131" s="96" t="s">
        <v>273</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rearAxleSpacing</v>
      </c>
      <c r="V131" s="4" t="str">
        <f>IF(LEN(Table2[[#This Row],[!Description]]) &gt; 0, Table2[[#This Row],[!Description]], "rg:None")</f>
        <v>The spacing of the rear axles, if applicable. Usually in metres.</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5">
      <c r="A132" s="5" t="s">
        <v>107</v>
      </c>
      <c r="B132" s="5" t="s">
        <v>7</v>
      </c>
      <c r="C132" s="5">
        <v>150</v>
      </c>
      <c r="D132" s="5" t="s">
        <v>109</v>
      </c>
      <c r="E132" s="96" t="s">
        <v>274</v>
      </c>
      <c r="F132" s="5" t="s">
        <v>5</v>
      </c>
      <c r="G132" s="4"/>
      <c r="H132" s="4"/>
      <c r="I132" s="4" t="str">
        <f t="shared" si="15"/>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frontTireSize</v>
      </c>
      <c r="V132" s="4" t="str">
        <f>IF(LEN(Table2[[#This Row],[!Description]]) &gt; 0, Table2[[#This Row],[!Description]], "rg:None")</f>
        <v>The size of of the Front Tires of the Dump Truck.</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5">
      <c r="A133" s="5" t="s">
        <v>107</v>
      </c>
      <c r="B133" s="5" t="s">
        <v>7</v>
      </c>
      <c r="C133" s="5">
        <v>150</v>
      </c>
      <c r="D133" s="5" t="s">
        <v>110</v>
      </c>
      <c r="E133" s="96" t="s">
        <v>275</v>
      </c>
      <c r="F133" s="5" t="s">
        <v>5</v>
      </c>
      <c r="G133" s="4"/>
      <c r="H133" s="4"/>
      <c r="I133" s="4" t="str">
        <f t="shared" ref="I133:I152" si="16">IF(LEN(A133) &gt; 0,"Defs","-")</f>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frontTireUOM</v>
      </c>
      <c r="V133" s="4" t="str">
        <f>IF(LEN(Table2[[#This Row],[!Description]]) &gt; 0, Table2[[#This Row],[!Description]], "rg:None")</f>
        <v>The Unit of Measure of the Front Tire Size.</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5">
      <c r="A134" s="5" t="s">
        <v>107</v>
      </c>
      <c r="B134" s="5" t="s">
        <v>7</v>
      </c>
      <c r="C134" s="5">
        <v>150</v>
      </c>
      <c r="D134" s="5" t="s">
        <v>111</v>
      </c>
      <c r="E134" s="96" t="s">
        <v>276</v>
      </c>
      <c r="F134" s="5" t="s">
        <v>5</v>
      </c>
      <c r="G134" s="4"/>
      <c r="H134" s="4"/>
      <c r="I134" s="4" t="str">
        <f t="shared" si="16"/>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frontAxleCapacity</v>
      </c>
      <c r="V134" s="4" t="str">
        <f>IF(LEN(Table2[[#This Row],[!Description]]) &gt; 0, Table2[[#This Row],[!Description]], "rg:None")</f>
        <v>The rated capacity of the Front Axle.</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5">
      <c r="A135" s="5" t="s">
        <v>107</v>
      </c>
      <c r="B135" s="5" t="s">
        <v>7</v>
      </c>
      <c r="C135" s="5">
        <v>150</v>
      </c>
      <c r="D135" s="82" t="s">
        <v>185</v>
      </c>
      <c r="E135" s="96" t="s">
        <v>277</v>
      </c>
      <c r="F135" s="5" t="s">
        <v>5</v>
      </c>
      <c r="G135" s="4"/>
      <c r="H135" s="4"/>
      <c r="I135" s="4" t="str">
        <f t="shared" si="16"/>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rearAxleCapacity</v>
      </c>
      <c r="V135" s="4" t="str">
        <f>IF(LEN(Table2[[#This Row],[!Description]]) &gt; 0, Table2[[#This Row],[!Description]], "rg:None")</f>
        <v>The rated capacity of the Rear Axle.</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5">
      <c r="A136" s="5" t="s">
        <v>107</v>
      </c>
      <c r="B136" s="5" t="s">
        <v>7</v>
      </c>
      <c r="C136" s="5">
        <v>150</v>
      </c>
      <c r="D136" s="5" t="s">
        <v>112</v>
      </c>
      <c r="E136" s="96" t="s">
        <v>278</v>
      </c>
      <c r="F136" s="5" t="s">
        <v>5</v>
      </c>
      <c r="G136" s="4"/>
      <c r="H136" s="4"/>
      <c r="I136" s="4" t="str">
        <f t="shared" si="16"/>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legalLoad</v>
      </c>
      <c r="V136" s="4" t="str">
        <f>IF(LEN(Table2[[#This Row],[!Description]]) &gt; 0, Table2[[#This Row],[!Description]], "rg:None")</f>
        <v>The legal load of the vehicle in kg.</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5">
      <c r="A137" s="5" t="s">
        <v>107</v>
      </c>
      <c r="B137" s="5" t="s">
        <v>7</v>
      </c>
      <c r="C137" s="5">
        <v>150</v>
      </c>
      <c r="D137" s="5" t="s">
        <v>113</v>
      </c>
      <c r="E137" s="96" t="s">
        <v>279</v>
      </c>
      <c r="F137" s="5" t="s">
        <v>5</v>
      </c>
      <c r="G137" s="4"/>
      <c r="H137" s="4"/>
      <c r="I137" s="4" t="str">
        <f t="shared" si="16"/>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legalCapacity</v>
      </c>
      <c r="V137" s="4" t="str">
        <f>IF(LEN(Table2[[#This Row],[!Description]]) &gt; 0, Table2[[#This Row],[!Description]], "rg:None")</f>
        <v>The legal capacity of the dump truck.</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5">
      <c r="A138" s="5" t="s">
        <v>107</v>
      </c>
      <c r="B138" s="5" t="s">
        <v>7</v>
      </c>
      <c r="C138" s="5">
        <v>150</v>
      </c>
      <c r="D138" s="5" t="s">
        <v>114</v>
      </c>
      <c r="E138" s="96" t="s">
        <v>283</v>
      </c>
      <c r="F138" s="5" t="s">
        <v>5</v>
      </c>
      <c r="G138" s="4"/>
      <c r="H138" s="4"/>
      <c r="I138" s="4" t="str">
        <f t="shared" si="16"/>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legalPUPTareWeight</v>
      </c>
      <c r="V138" s="4" t="str">
        <f>IF(LEN(Table2[[#This Row],[!Description]]) &gt; 0, Table2[[#This Row],[!Description]], "rg:None")</f>
        <v>The legal Tare Weight (weight when unloaded) of the PUP trailer.</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ht="43.2" x14ac:dyDescent="0.35">
      <c r="A139" s="5" t="s">
        <v>107</v>
      </c>
      <c r="B139" s="5" t="s">
        <v>7</v>
      </c>
      <c r="C139" s="5">
        <v>150</v>
      </c>
      <c r="D139" s="5" t="s">
        <v>115</v>
      </c>
      <c r="E139" s="96" t="s">
        <v>280</v>
      </c>
      <c r="F139" s="5" t="s">
        <v>5</v>
      </c>
      <c r="G139" s="4"/>
      <c r="H139" s="4"/>
      <c r="I139" s="4" t="str">
        <f t="shared" si="16"/>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licencedGVW</v>
      </c>
      <c r="V13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5">
      <c r="A140" s="5" t="s">
        <v>107</v>
      </c>
      <c r="B140" s="5" t="s">
        <v>7</v>
      </c>
      <c r="C140" s="5">
        <v>150</v>
      </c>
      <c r="D140" s="5" t="s">
        <v>116</v>
      </c>
      <c r="E140" s="96" t="s">
        <v>281</v>
      </c>
      <c r="F140" s="5" t="s">
        <v>5</v>
      </c>
      <c r="G140" s="4"/>
      <c r="H140" s="4"/>
      <c r="I140" s="4" t="str">
        <f t="shared" si="16"/>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licencedGVWUOM</v>
      </c>
      <c r="V140" s="4" t="str">
        <f>IF(LEN(Table2[[#This Row],[!Description]]) &gt; 0, Table2[[#This Row],[!Description]], "rg:None")</f>
        <v>The Unit of Measure (UOM) of the licenced GVW.</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5">
      <c r="A141" s="5" t="s">
        <v>107</v>
      </c>
      <c r="B141" s="5" t="s">
        <v>7</v>
      </c>
      <c r="C141" s="5">
        <v>150</v>
      </c>
      <c r="D141" s="5" t="s">
        <v>117</v>
      </c>
      <c r="E141" s="96" t="s">
        <v>282</v>
      </c>
      <c r="F141" s="5" t="s">
        <v>5</v>
      </c>
      <c r="G141" s="4"/>
      <c r="H141" s="4"/>
      <c r="I141" s="4" t="str">
        <f t="shared" si="16"/>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licencedTareWeight</v>
      </c>
      <c r="V141" s="4" t="str">
        <f>IF(LEN(Table2[[#This Row],[!Description]]) &gt; 0, Table2[[#This Row],[!Description]], "rg:None")</f>
        <v>The licenced Tare Weight (weight when unloaded) of the vehicle.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5">
      <c r="A142" s="5" t="s">
        <v>107</v>
      </c>
      <c r="B142" s="5" t="s">
        <v>7</v>
      </c>
      <c r="C142" s="5">
        <v>150</v>
      </c>
      <c r="D142" s="5" t="s">
        <v>118</v>
      </c>
      <c r="E142" s="96" t="s">
        <v>284</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licencedPUPTareWeight</v>
      </c>
      <c r="V142" s="4" t="str">
        <f>IF(LEN(Table2[[#This Row],[!Description]]) &gt; 0, Table2[[#This Row],[!Description]], "rg:None")</f>
        <v>The licenced Tare Weight (weight when unloaded) of the PUP trailer.</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5">
      <c r="A143" s="5" t="s">
        <v>107</v>
      </c>
      <c r="B143" s="5" t="s">
        <v>7</v>
      </c>
      <c r="C143" s="5">
        <v>150</v>
      </c>
      <c r="D143" s="5" t="s">
        <v>119</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licencedLoad</v>
      </c>
      <c r="V143" s="4" t="str">
        <f>IF(LEN(Table2[[#This Row],[!Description]]) &gt; 0, Table2[[#This Row],[!Description]], "rg:None")</f>
        <v>The licenced maximum load of the vehicle in kg.</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5">
      <c r="A144" s="5" t="s">
        <v>107</v>
      </c>
      <c r="B144" s="5" t="s">
        <v>7</v>
      </c>
      <c r="C144" s="5">
        <v>150</v>
      </c>
      <c r="D144" s="5" t="s">
        <v>120</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licencedCapacity</v>
      </c>
      <c r="V144" s="4" t="str">
        <f>IF(LEN(Table2[[#This Row],[!Description]]) &gt; 0, Table2[[#This Row],[!Description]], "rg:None")</f>
        <v>The licenced maximum capacity of the vehicle.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ht="28.8" x14ac:dyDescent="0.35">
      <c r="A145" s="5" t="s">
        <v>107</v>
      </c>
      <c r="B145" s="5" t="s">
        <v>7</v>
      </c>
      <c r="C145" s="5">
        <v>150</v>
      </c>
      <c r="D145" s="5" t="s">
        <v>121</v>
      </c>
      <c r="E145" s="100" t="s">
        <v>349</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boxLength</v>
      </c>
      <c r="V145" s="4" t="str">
        <f>IF(LEN(Table2[[#This Row],[!Description]]) &gt; 0, Table2[[#This Row],[!Description]], "rg:None")</f>
        <v>The length of the box, in metres. See - http-//www.bclaws.ca/EPLibraries/bclaws_new/document/ID/freeside/30_7, appendix B</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ht="28.8" x14ac:dyDescent="0.35">
      <c r="A146" s="5" t="s">
        <v>107</v>
      </c>
      <c r="B146" s="5" t="s">
        <v>7</v>
      </c>
      <c r="C146" s="5">
        <v>150</v>
      </c>
      <c r="D146" s="5" t="s">
        <v>122</v>
      </c>
      <c r="E146" s="100" t="s">
        <v>350</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boxWidth</v>
      </c>
      <c r="V146" s="4" t="str">
        <f>IF(LEN(Table2[[#This Row],[!Description]]) &gt; 0, Table2[[#This Row],[!Description]], "rg:None")</f>
        <v>The width of the box, in metres. See - http-//www.bclaws.ca/EPLibraries/bclaws_new/document/ID/freeside/30_7, appendix B</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28.8" x14ac:dyDescent="0.35">
      <c r="A147" s="5" t="s">
        <v>107</v>
      </c>
      <c r="B147" s="5" t="s">
        <v>7</v>
      </c>
      <c r="C147" s="5">
        <v>150</v>
      </c>
      <c r="D147" s="5" t="s">
        <v>123</v>
      </c>
      <c r="E147" s="100" t="s">
        <v>353</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boxHeight</v>
      </c>
      <c r="V147" s="4" t="str">
        <f>IF(LEN(Table2[[#This Row],[!Description]]) &gt; 0, Table2[[#This Row],[!Description]], "rg:None")</f>
        <v>The height of the box, in metres. See- http-//www.bclaws.ca/EPLibraries/bclaws_new/document/ID/freeside/30_7, appendix B</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5">
      <c r="A148" s="5" t="s">
        <v>107</v>
      </c>
      <c r="B148" s="5" t="s">
        <v>7</v>
      </c>
      <c r="C148" s="5">
        <v>150</v>
      </c>
      <c r="D148" s="5" t="s">
        <v>124</v>
      </c>
      <c r="E148" s="96" t="s">
        <v>287</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boxCapacity</v>
      </c>
      <c r="V148" s="4" t="str">
        <f>IF(LEN(Table2[[#This Row],[!Description]]) &gt; 0, Table2[[#This Row],[!Description]], "rg:None")</f>
        <v>The capacity of the box.</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ht="28.8" x14ac:dyDescent="0.35">
      <c r="A149" s="5" t="s">
        <v>107</v>
      </c>
      <c r="B149" s="5" t="s">
        <v>7</v>
      </c>
      <c r="C149" s="5">
        <v>150</v>
      </c>
      <c r="D149" s="5" t="s">
        <v>125</v>
      </c>
      <c r="E149" s="100" t="s">
        <v>354</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trailerBoxLength</v>
      </c>
      <c r="V149" s="4" t="str">
        <f>IF(LEN(Table2[[#This Row],[!Description]]) &gt; 0, Table2[[#This Row],[!Description]], "rg:None")</f>
        <v>The length of the trailer box, in metres. See www.bclaws.ca/EPLibraries/bclaws_new/document/ID/freeside/30_7, appendix B</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ht="28.8" x14ac:dyDescent="0.35">
      <c r="A150" s="5" t="s">
        <v>107</v>
      </c>
      <c r="B150" s="5" t="s">
        <v>7</v>
      </c>
      <c r="C150" s="5">
        <v>150</v>
      </c>
      <c r="D150" s="5" t="s">
        <v>126</v>
      </c>
      <c r="E150" s="100" t="s">
        <v>355</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trailerBoxWidth</v>
      </c>
      <c r="V150" s="4" t="str">
        <f>IF(LEN(Table2[[#This Row],[!Description]]) &gt; 0, Table2[[#This Row],[!Description]], "rg:None")</f>
        <v>The width of the trailer box, in metres. See www.bclaws.ca/EPLibraries/bclaws_new/document/ID/freeside/30_7, appendix B</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ht="28.8" x14ac:dyDescent="0.35">
      <c r="A151" s="5" t="s">
        <v>107</v>
      </c>
      <c r="B151" s="5" t="s">
        <v>7</v>
      </c>
      <c r="C151" s="5">
        <v>150</v>
      </c>
      <c r="D151" s="5" t="s">
        <v>127</v>
      </c>
      <c r="E151" s="100" t="s">
        <v>356</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trailerBoxHeight</v>
      </c>
      <c r="V151" s="4" t="str">
        <f>IF(LEN(Table2[[#This Row],[!Description]]) &gt; 0, Table2[[#This Row],[!Description]], "rg:None")</f>
        <v>The height of the trailer box, in metres. See www.bclaws.ca/EPLibraries/bclaws_new/document/ID/freeside/30_7, appendix B</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5">
      <c r="A152" s="5" t="s">
        <v>107</v>
      </c>
      <c r="B152" s="5" t="s">
        <v>7</v>
      </c>
      <c r="C152" s="5">
        <v>150</v>
      </c>
      <c r="D152" s="5" t="s">
        <v>128</v>
      </c>
      <c r="E152" s="96" t="s">
        <v>288</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trailerBoxCapacity</v>
      </c>
      <c r="V152" s="4" t="str">
        <f>IF(LEN(Table2[[#This Row],[!Description]]) &gt; 0, Table2[[#This Row],[!Description]], "rg:None")</f>
        <v>The capacity of the trailer box.</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5">
      <c r="A153" s="82" t="s">
        <v>179</v>
      </c>
      <c r="B153" s="133" t="s">
        <v>4</v>
      </c>
      <c r="C153" s="72"/>
      <c r="D153" s="82" t="s">
        <v>179</v>
      </c>
      <c r="E153" s="138" t="s">
        <v>558</v>
      </c>
      <c r="F153" s="12"/>
      <c r="G153" s="18"/>
      <c r="H153" s="18"/>
      <c r="I153" s="4" t="str">
        <f t="shared" ref="I153:I161" si="17">IF(LEN(A153) &gt; 0,"Defs","-")</f>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4" t="str">
        <f>IF(LEN(Table2[[#This Row],[!Length]]) &gt; 0, Table2[[#This Row],[!Length]], "rg:None")</f>
        <v>rg:None</v>
      </c>
      <c r="U153" s="4" t="str">
        <f>IF(LEN(Table2[[#This Row],[!Name]]) &gt; 0, Table2[[#This Row],[!Name]], "rg:None")</f>
        <v>EquipmentType</v>
      </c>
      <c r="V153" s="4" t="str">
        <f>IF(LEN(Table2[[#This Row],[!Description]]) &gt; 0, Table2[[#This Row],[!Description]], "rg:None")</f>
        <v>A provincial-wide Equipment Type, the related Blue Book Chapter Section and related usage attributes.</v>
      </c>
      <c r="W153" s="4" t="str">
        <f>IF(LEN(Table2[[#This Row],[!FK]])&gt;0,Table2[[#This Row],[!FK]],"rg:None")</f>
        <v>rg:None</v>
      </c>
      <c r="X153" s="14" t="str">
        <f>IF(LEN(concatif2(A:A,Table2[[#This Row],[!Table]],G:G,"Y",D:D,",")) &gt; 0,"rg:[ { 'req' : '"&amp;concatif2(A:A,Table2[[#This Row],[!Table]],G:G,"Y",D:D,"' }, { 'req': '")&amp;"'} ]","rg:[]")</f>
        <v>rg:[ { 'req' : 'id' }, { 'req': 'name' }, { 'req': 'isDumpTruck' }, { 'req': 'blueBookSection' }, { 'req': 'numberOfBlocks'} ]</v>
      </c>
      <c r="Y153" s="4" t="str">
        <f>IF(LEN(Table2[[#This Row],[!Unique]])&gt;0,IF(Table2[[#This Row],[!Type]] = "id", "rg:None","rg:True"),"rg:None")</f>
        <v>rg:None</v>
      </c>
    </row>
    <row r="154" spans="1:25" x14ac:dyDescent="0.35">
      <c r="A154" s="82" t="s">
        <v>179</v>
      </c>
      <c r="B154" s="133" t="s">
        <v>6</v>
      </c>
      <c r="C154" s="72"/>
      <c r="D154" s="133" t="s">
        <v>6</v>
      </c>
      <c r="E154" s="135" t="s">
        <v>543</v>
      </c>
      <c r="F154" s="12"/>
      <c r="G154" s="154" t="s">
        <v>60</v>
      </c>
      <c r="H154" s="154" t="s">
        <v>60</v>
      </c>
      <c r="I154" s="4" t="str">
        <f t="shared" si="17"/>
        <v>Defs</v>
      </c>
      <c r="J154" s="4" t="str">
        <f>IF(Table2[[#This Row],[!Type]]=J$1, J$1,"rg:None")</f>
        <v>rg:None</v>
      </c>
      <c r="K154" s="4" t="str">
        <f>IF(Table2[[#This Row],[!Type]]=K$1, K$1,"rg:None")</f>
        <v>rg:None</v>
      </c>
      <c r="L154" s="4" t="str">
        <f>IF(Table2[[#This Row],[!Type]]=L$1, L$1,"rg:None")</f>
        <v>rg:None</v>
      </c>
      <c r="M154" s="4" t="str">
        <f>IF(Table2[[#This Row],[!Type]]=M$1, M$1,"rg:None")</f>
        <v>id</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id</v>
      </c>
      <c r="V154" s="4" t="str">
        <f>IF(LEN(Table2[[#This Row],[!Description]]) &gt; 0, Table2[[#This Row],[!Description]], "rg:None")</f>
        <v>A system-generated unique identifier for an EquipmentName</v>
      </c>
      <c r="W154" s="4" t="str">
        <f>IF(LEN(Table2[[#This Row],[!FK]])&gt;0,Table2[[#This Row],[!FK]],"rg:None")</f>
        <v>rg:None</v>
      </c>
      <c r="X154" s="14" t="str">
        <f>IF(LEN(concatif2(A:A,Table2[[#This Row],[!Table]],G:G,"Y",D:D,",")) &gt; 0,"rg:[ { 'req' : '"&amp;concatif2(A:A,Table2[[#This Row],[!Table]],G:G,"Y",D:D,"' }, { 'req': '")&amp;"'} ]","rg:[]")</f>
        <v>rg:[ { 'req' : 'id' }, { 'req': 'name' }, { 'req': 'isDumpTruck' }, { 'req': 'blueBookSection' }, { 'req': 'numberOfBlocks'} ]</v>
      </c>
      <c r="Y154" s="4" t="str">
        <f>IF(LEN(Table2[[#This Row],[!Unique]])&gt;0,IF(Table2[[#This Row],[!Type]] = "id", "rg:None","rg:True"),"rg:None")</f>
        <v>rg:None</v>
      </c>
    </row>
    <row r="155" spans="1:25" x14ac:dyDescent="0.35">
      <c r="A155" s="82" t="s">
        <v>179</v>
      </c>
      <c r="B155" s="133" t="s">
        <v>7</v>
      </c>
      <c r="C155" s="72">
        <v>50</v>
      </c>
      <c r="D155" s="133" t="s">
        <v>15</v>
      </c>
      <c r="E155" s="134" t="s">
        <v>544</v>
      </c>
      <c r="F155" s="12"/>
      <c r="G155" s="154" t="s">
        <v>60</v>
      </c>
      <c r="H155" s="154" t="s">
        <v>60</v>
      </c>
      <c r="I155" s="4" t="str">
        <f t="shared" si="1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50</v>
      </c>
      <c r="U155" s="4" t="str">
        <f>IF(LEN(Table2[[#This Row],[!Name]]) &gt; 0, Table2[[#This Row],[!Name]], "rg:None")</f>
        <v>name</v>
      </c>
      <c r="V155" s="4" t="str">
        <f>IF(LEN(Table2[[#This Row],[!Description]]) &gt; 0, Table2[[#This Row],[!Description]], "rg:None")</f>
        <v>The generic name of an equipment type - e.g. Dump Truck, Excavator and so on.</v>
      </c>
      <c r="W155" s="4" t="str">
        <f>IF(LEN(Table2[[#This Row],[!FK]])&gt;0,Table2[[#This Row],[!FK]],"rg:None")</f>
        <v>rg:None</v>
      </c>
      <c r="X155" s="14" t="str">
        <f>IF(LEN(concatif2(A:A,Table2[[#This Row],[!Table]],G:G,"Y",D:D,",")) &gt; 0,"rg:[ { 'req' : '"&amp;concatif2(A:A,Table2[[#This Row],[!Table]],G:G,"Y",D:D,"' }, { 'req': '")&amp;"'} ]","rg:[]")</f>
        <v>rg:[ { 'req' : 'id' }, { 'req': 'name' }, { 'req': 'isDumpTruck' }, { 'req': 'blueBookSection' }, { 'req': 'numberOfBlocks'} ]</v>
      </c>
      <c r="Y155" s="4" t="str">
        <f>IF(LEN(Table2[[#This Row],[!Unique]])&gt;0,IF(Table2[[#This Row],[!Type]] = "id", "rg:None","rg:True"),"rg:None")</f>
        <v>rg:True</v>
      </c>
    </row>
    <row r="156" spans="1:25" ht="28.8" x14ac:dyDescent="0.35">
      <c r="A156" s="139" t="s">
        <v>179</v>
      </c>
      <c r="B156" s="139" t="s">
        <v>9</v>
      </c>
      <c r="C156" s="72"/>
      <c r="D156" s="139" t="s">
        <v>559</v>
      </c>
      <c r="E156" s="138" t="s">
        <v>560</v>
      </c>
      <c r="F156" s="12"/>
      <c r="G156" s="154" t="s">
        <v>60</v>
      </c>
      <c r="H156" s="18"/>
      <c r="I156" s="4" t="str">
        <f>IF(LEN(A156) &gt; 0,"Defs","-")</f>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isDumpTruck</v>
      </c>
      <c r="V156" s="4" t="str">
        <f>IF(LEN(Table2[[#This Row],[!Description]]) &gt; 0, Table2[[#This Row],[!Description]], "rg:None")</f>
        <v>True if the Equipment Type is a Dump Truck. Equipment of this type will have a related Dump Truck record containing dump truck-related attributes.</v>
      </c>
      <c r="W156" s="4" t="str">
        <f>IF(LEN(Table2[[#This Row],[!FK]])&gt;0,Table2[[#This Row],[!FK]],"rg:None")</f>
        <v>rg:None</v>
      </c>
      <c r="X156" s="14" t="str">
        <f>IF(LEN(concatif2(A:A,Table2[[#This Row],[!Table]],G:G,"Y",D:D,",")) &gt; 0,"rg:[ { 'req' : '"&amp;concatif2(A:A,Table2[[#This Row],[!Table]],G:G,"Y",D:D,"' }, { 'req': '")&amp;"'} ]","rg:[]")</f>
        <v>rg:[ { 'req' : 'id' }, { 'req': 'name' }, { 'req': 'isDumpTruck' }, { 'req': 'blueBookSection' }, { 'req': 'numberOfBlocks'} ]</v>
      </c>
      <c r="Y156" s="4" t="str">
        <f>IF(LEN(Table2[[#This Row],[!Unique]])&gt;0,IF(Table2[[#This Row],[!Type]] = "id", "rg:None","rg:True"),"rg:None")</f>
        <v>rg:None</v>
      </c>
    </row>
    <row r="157" spans="1:25" x14ac:dyDescent="0.35">
      <c r="A157" s="82" t="s">
        <v>179</v>
      </c>
      <c r="B157" s="133" t="s">
        <v>106</v>
      </c>
      <c r="C157" s="72"/>
      <c r="D157" s="133" t="s">
        <v>545</v>
      </c>
      <c r="E157" s="134" t="s">
        <v>546</v>
      </c>
      <c r="F157" s="12"/>
      <c r="G157" s="154" t="s">
        <v>60</v>
      </c>
      <c r="H157" s="18"/>
      <c r="I157" s="4" t="str">
        <f t="shared" si="1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float</v>
      </c>
      <c r="P157" s="4" t="str">
        <f>IF(Table2[[#This Row],[!Type]]=P$1, P$1,"rg:None")</f>
        <v>rg:None</v>
      </c>
      <c r="Q157" s="4" t="str">
        <f>IF(Table2[[#This Row],[!Type]]=Q$1, Q$1,"rg:None")</f>
        <v>rg:None</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blueBookSection</v>
      </c>
      <c r="V157" s="4" t="str">
        <f>IF(LEN(Table2[[#This Row],[!Description]]) &gt; 0, Table2[[#This Row],[!Description]], "rg:None")</f>
        <v>The section of the Blue Book that is related to equipment types of this name.</v>
      </c>
      <c r="W157" s="4" t="str">
        <f>IF(LEN(Table2[[#This Row],[!FK]])&gt;0,Table2[[#This Row],[!FK]],"rg:None")</f>
        <v>rg:None</v>
      </c>
      <c r="X157" s="14" t="str">
        <f>IF(LEN(concatif2(A:A,Table2[[#This Row],[!Table]],G:G,"Y",D:D,",")) &gt; 0,"rg:[ { 'req' : '"&amp;concatif2(A:A,Table2[[#This Row],[!Table]],G:G,"Y",D:D,"' }, { 'req': '")&amp;"'} ]","rg:[]")</f>
        <v>rg:[ { 'req' : 'id' }, { 'req': 'name' }, { 'req': 'isDumpTruck' }, { 'req': 'blueBookSection' }, { 'req': 'numberOfBlocks'} ]</v>
      </c>
      <c r="Y157" s="4" t="str">
        <f>IF(LEN(Table2[[#This Row],[!Unique]])&gt;0,IF(Table2[[#This Row],[!Type]] = "id", "rg:None","rg:True"),"rg:None")</f>
        <v>rg:None</v>
      </c>
    </row>
    <row r="158" spans="1:25" x14ac:dyDescent="0.35">
      <c r="A158" s="82" t="s">
        <v>179</v>
      </c>
      <c r="B158" s="133" t="s">
        <v>106</v>
      </c>
      <c r="C158" s="72"/>
      <c r="D158" s="133" t="s">
        <v>552</v>
      </c>
      <c r="E158" s="134" t="s">
        <v>553</v>
      </c>
      <c r="F158" s="12"/>
      <c r="G158" s="18"/>
      <c r="H158" s="18"/>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blueBookRateNumber</v>
      </c>
      <c r="V158" s="4" t="str">
        <f>IF(LEN(Table2[[#This Row],[!Description]]) &gt; 0, Table2[[#This Row],[!Description]], "rg:None")</f>
        <v>The rate number in the Blue Book that is related to equipment types of this name.</v>
      </c>
      <c r="W158" s="4" t="str">
        <f>IF(LEN(Table2[[#This Row],[!FK]])&gt;0,Table2[[#This Row],[!FK]],"rg:None")</f>
        <v>rg:None</v>
      </c>
      <c r="X158" s="14" t="str">
        <f>IF(LEN(concatif2(A:A,Table2[[#This Row],[!Table]],G:G,"Y",D:D,",")) &gt; 0,"rg:[ { 'req' : '"&amp;concatif2(A:A,Table2[[#This Row],[!Table]],G:G,"Y",D:D,"' }, { 'req': '")&amp;"'} ]","rg:[]")</f>
        <v>rg:[ { 'req' : 'id' }, { 'req': 'name' }, { 'req': 'isDumpTruck' }, { 'req': 'blueBookSection' }, { 'req': 'numberOfBlocks'} ]</v>
      </c>
      <c r="Y158" s="4" t="str">
        <f>IF(LEN(Table2[[#This Row],[!Unique]])&gt;0,IF(Table2[[#This Row],[!Type]] = "id", "rg:None","rg:True"),"rg:None")</f>
        <v>rg:None</v>
      </c>
    </row>
    <row r="159" spans="1:25" ht="43.2" x14ac:dyDescent="0.35">
      <c r="A159" s="82" t="s">
        <v>179</v>
      </c>
      <c r="B159" s="133" t="s">
        <v>13</v>
      </c>
      <c r="C159" s="72"/>
      <c r="D159" s="133" t="s">
        <v>547</v>
      </c>
      <c r="E159" s="134" t="s">
        <v>554</v>
      </c>
      <c r="F159" s="12"/>
      <c r="G159" s="154" t="s">
        <v>60</v>
      </c>
      <c r="H159" s="18"/>
      <c r="I159" s="4" t="str">
        <f t="shared" si="1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numberOfBlocks</v>
      </c>
      <c r="V159" s="4" t="str">
        <f>IF(LEN(Table2[[#This Row],[!Description]]) &gt; 0, Table2[[#This Row],[!Description]], "rg:None")</f>
        <v>The number of blocks defined for the equipment of this name and Blue Book section. In general Dump Truck-class equipment types have 3 blocks, while non-Dump Truck equipment types have 2 blocks.</v>
      </c>
      <c r="W159" s="4" t="str">
        <f>IF(LEN(Table2[[#This Row],[!FK]])&gt;0,Table2[[#This Row],[!FK]],"rg:None")</f>
        <v>rg:None</v>
      </c>
      <c r="X159" s="14" t="str">
        <f>IF(LEN(concatif2(A:A,Table2[[#This Row],[!Table]],G:G,"Y",D:D,",")) &gt; 0,"rg:[ { 'req' : '"&amp;concatif2(A:A,Table2[[#This Row],[!Table]],G:G,"Y",D:D,"' }, { 'req': '")&amp;"'} ]","rg:[]")</f>
        <v>rg:[ { 'req' : 'id' }, { 'req': 'name' }, { 'req': 'isDumpTruck' }, { 'req': 'blueBookSection' }, { 'req': 'numberOfBlocks'} ]</v>
      </c>
      <c r="Y159" s="4" t="str">
        <f>IF(LEN(Table2[[#This Row],[!Unique]])&gt;0,IF(Table2[[#This Row],[!Type]] = "id", "rg:None","rg:True"),"rg:None")</f>
        <v>rg:None</v>
      </c>
    </row>
    <row r="160" spans="1:25" ht="28.8" x14ac:dyDescent="0.35">
      <c r="A160" s="82" t="s">
        <v>179</v>
      </c>
      <c r="B160" s="133" t="s">
        <v>106</v>
      </c>
      <c r="C160" s="72"/>
      <c r="D160" s="136" t="s">
        <v>548</v>
      </c>
      <c r="E160" s="134" t="s">
        <v>549</v>
      </c>
      <c r="F160" s="12"/>
      <c r="G160" s="18"/>
      <c r="H160" s="18"/>
      <c r="I160" s="4" t="str">
        <f t="shared" si="1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maximumHours</v>
      </c>
      <c r="V160" s="4" t="str">
        <f>IF(LEN(Table2[[#This Row],[!Description]]) &gt; 0, Table2[[#This Row],[!Description]], "rg:None")</f>
        <v>The maximum number of hours per year that equipment types of this name/Blue Book section can work in a year</v>
      </c>
      <c r="W160" s="4" t="str">
        <f>IF(LEN(Table2[[#This Row],[!FK]])&gt;0,Table2[[#This Row],[!FK]],"rg:None")</f>
        <v>rg:None</v>
      </c>
      <c r="X160" s="14" t="str">
        <f>IF(LEN(concatif2(A:A,Table2[[#This Row],[!Table]],G:G,"Y",D:D,",")) &gt; 0,"rg:[ { 'req' : '"&amp;concatif2(A:A,Table2[[#This Row],[!Table]],G:G,"Y",D:D,"' }, { 'req': '")&amp;"'} ]","rg:[]")</f>
        <v>rg:[ { 'req' : 'id' }, { 'req': 'name' }, { 'req': 'isDumpTruck' }, { 'req': 'blueBookSection' }, { 'req': 'numberOfBlocks'} ]</v>
      </c>
      <c r="Y160" s="4" t="str">
        <f>IF(LEN(Table2[[#This Row],[!Unique]])&gt;0,IF(Table2[[#This Row],[!Type]] = "id", "rg:None","rg:True"),"rg:None")</f>
        <v>rg:None</v>
      </c>
    </row>
    <row r="161" spans="1:25" ht="28.8" x14ac:dyDescent="0.35">
      <c r="A161" s="82" t="s">
        <v>179</v>
      </c>
      <c r="B161" s="133" t="s">
        <v>106</v>
      </c>
      <c r="C161" s="72"/>
      <c r="D161" s="5" t="s">
        <v>139</v>
      </c>
      <c r="E161" s="134" t="s">
        <v>550</v>
      </c>
      <c r="F161" s="12"/>
      <c r="G161" s="18"/>
      <c r="H161" s="18"/>
      <c r="I161" s="4" t="str">
        <f t="shared" si="1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extendHours</v>
      </c>
      <c r="V161" s="4" t="str">
        <f>IF(LEN(Table2[[#This Row],[!Description]]) &gt; 0, Table2[[#This Row],[!Description]], "rg:None")</f>
        <v>The number of extended hours per year that equipment types of this name/Blue Book section can work.</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ht="28.8" x14ac:dyDescent="0.35">
      <c r="A162" s="82" t="s">
        <v>179</v>
      </c>
      <c r="B162" s="133" t="s">
        <v>106</v>
      </c>
      <c r="C162" s="72"/>
      <c r="D162" s="5" t="s">
        <v>140</v>
      </c>
      <c r="E162" s="134" t="s">
        <v>551</v>
      </c>
      <c r="F162" s="12"/>
      <c r="G162" s="18"/>
      <c r="H162" s="18"/>
      <c r="I162" s="4" t="str">
        <f t="shared" ref="I162" si="18">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maxHoursSub</v>
      </c>
      <c r="V162" s="4" t="str">
        <f>IF(LEN(Table2[[#This Row],[!Description]]) &gt; 0, Table2[[#This Row],[!Description]], "rg:None")</f>
        <v>The number of substitute hours per year that equipment types of this name/Blue Book section can work.</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ht="72" x14ac:dyDescent="0.35">
      <c r="A163" s="137" t="s">
        <v>557</v>
      </c>
      <c r="B163" s="5" t="s">
        <v>4</v>
      </c>
      <c r="D163" s="137" t="s">
        <v>557</v>
      </c>
      <c r="E163" s="141" t="s">
        <v>561</v>
      </c>
      <c r="F163" s="5" t="s">
        <v>5</v>
      </c>
      <c r="G163" s="4"/>
      <c r="H163" s="4"/>
      <c r="I163" s="4" t="str">
        <f t="shared" ref="I163:I167" si="19">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DistrictEquipmentType</v>
      </c>
      <c r="V16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63" s="4" t="str">
        <f>IF(LEN(Table2[[#This Row],[!FK]])&gt;0,Table2[[#This Row],[!FK]],"rg:None")</f>
        <v>rg:None</v>
      </c>
      <c r="X163" s="14" t="str">
        <f>IF(LEN(concatif2(A:A,Table2[[#This Row],[!Table]],G:G,"Y",D:D,",")) &gt; 0,"rg:[ { 'req' : '"&amp;concatif2(A:A,Table2[[#This Row],[!Table]],G:G,"Y",D:D,"' }, { 'req': '")&amp;"'} ]","rg:[]")</f>
        <v>rg:[ { 'req' : 'id' }, { 'req': 'equipmentType' }, { 'req': 'district' }, { 'req': 'districtEquipmentName'} ]</v>
      </c>
      <c r="Y163" s="4" t="str">
        <f>IF(LEN(Table2[[#This Row],[!Unique]])&gt;0,IF(Table2[[#This Row],[!Type]] = "id", "rg:None","rg:True"),"rg:None")</f>
        <v>rg:None</v>
      </c>
    </row>
    <row r="164" spans="1:25" x14ac:dyDescent="0.35">
      <c r="A164" s="137" t="s">
        <v>557</v>
      </c>
      <c r="B164" s="5" t="s">
        <v>6</v>
      </c>
      <c r="D164" s="5" t="s">
        <v>6</v>
      </c>
      <c r="E164" s="101" t="s">
        <v>294</v>
      </c>
      <c r="F164" s="5" t="s">
        <v>5</v>
      </c>
      <c r="G164" s="4" t="s">
        <v>60</v>
      </c>
      <c r="H164" s="155" t="s">
        <v>60</v>
      </c>
      <c r="I164" s="4" t="str">
        <f t="shared" si="19"/>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 { 'req': 'equipmentType' }, { 'req': 'district' }, { 'req': 'districtEquipmentName'} ]</v>
      </c>
      <c r="Y164" s="4" t="str">
        <f>IF(LEN(Table2[[#This Row],[!Unique]])&gt;0,IF(Table2[[#This Row],[!Type]] = "id", "rg:None","rg:True"),"rg:None")</f>
        <v>rg:None</v>
      </c>
    </row>
    <row r="165" spans="1:25" x14ac:dyDescent="0.35">
      <c r="A165" s="137" t="s">
        <v>557</v>
      </c>
      <c r="B165" s="133" t="s">
        <v>8</v>
      </c>
      <c r="C165" s="72"/>
      <c r="D165" s="139" t="s">
        <v>178</v>
      </c>
      <c r="E165" s="47"/>
      <c r="F165" s="140" t="s">
        <v>179</v>
      </c>
      <c r="G165" s="154" t="s">
        <v>60</v>
      </c>
      <c r="H165" s="18"/>
      <c r="I165" s="4" t="str">
        <f>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equipmentType</v>
      </c>
      <c r="V165" s="4" t="str">
        <f>IF(LEN(Table2[[#This Row],[!Description]]) &gt; 0, Table2[[#This Row],[!Description]], "rg:None")</f>
        <v>rg:None</v>
      </c>
      <c r="W165" s="4" t="str">
        <f>IF(LEN(Table2[[#This Row],[!FK]])&gt;0,Table2[[#This Row],[!FK]],"rg:None")</f>
        <v>EquipmentType</v>
      </c>
      <c r="X165" s="14" t="str">
        <f>IF(LEN(concatif2(A:A,Table2[[#This Row],[!Table]],G:G,"Y",D:D,",")) &gt; 0,"rg:[ { 'req' : '"&amp;concatif2(A:A,Table2[[#This Row],[!Table]],G:G,"Y",D:D,"' }, { 'req': '")&amp;"'} ]","rg:[]")</f>
        <v>rg:[ { 'req' : 'id' }, { 'req': 'equipmentType' }, { 'req': 'district' }, { 'req': 'districtEquipmentName'} ]</v>
      </c>
      <c r="Y165" s="4" t="str">
        <f>IF(LEN(Table2[[#This Row],[!Unique]])&gt;0,IF(Table2[[#This Row],[!Type]] = "id", "rg:None","rg:True"),"rg:None")</f>
        <v>rg:None</v>
      </c>
    </row>
    <row r="166" spans="1:25" x14ac:dyDescent="0.35">
      <c r="A166" s="137" t="s">
        <v>557</v>
      </c>
      <c r="B166" s="5" t="s">
        <v>8</v>
      </c>
      <c r="D166" s="136" t="s">
        <v>37</v>
      </c>
      <c r="F166" s="136" t="s">
        <v>32</v>
      </c>
      <c r="G166" s="155" t="s">
        <v>60</v>
      </c>
      <c r="H166" s="4"/>
      <c r="I166" s="4" t="str">
        <f t="shared" si="19"/>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district</v>
      </c>
      <c r="V166" s="4" t="str">
        <f>IF(LEN(Table2[[#This Row],[!Description]]) &gt; 0, Table2[[#This Row],[!Description]], "rg:None")</f>
        <v>rg:None</v>
      </c>
      <c r="W166" s="4" t="str">
        <f>IF(LEN(Table2[[#This Row],[!FK]])&gt;0,Table2[[#This Row],[!FK]],"rg:None")</f>
        <v>District</v>
      </c>
      <c r="X166" s="14" t="str">
        <f>IF(LEN(concatif2(A:A,Table2[[#This Row],[!Table]],G:G,"Y",D:D,",")) &gt; 0,"rg:[ { 'req' : '"&amp;concatif2(A:A,Table2[[#This Row],[!Table]],G:G,"Y",D:D,"' }, { 'req': '")&amp;"'} ]","rg:[]")</f>
        <v>rg:[ { 'req' : 'id' }, { 'req': 'equipmentType' }, { 'req': 'district' }, { 'req': 'districtEquipmentName'} ]</v>
      </c>
      <c r="Y166" s="4" t="str">
        <f>IF(LEN(Table2[[#This Row],[!Unique]])&gt;0,IF(Table2[[#This Row],[!Type]] = "id", "rg:None","rg:True"),"rg:None")</f>
        <v>rg:None</v>
      </c>
    </row>
    <row r="167" spans="1:25" ht="57.6" x14ac:dyDescent="0.35">
      <c r="A167" s="137" t="s">
        <v>557</v>
      </c>
      <c r="B167" s="5" t="s">
        <v>7</v>
      </c>
      <c r="C167" s="5">
        <v>50</v>
      </c>
      <c r="D167" s="136" t="s">
        <v>555</v>
      </c>
      <c r="E167" s="135" t="s">
        <v>556</v>
      </c>
      <c r="F167" s="5" t="s">
        <v>5</v>
      </c>
      <c r="G167" s="155" t="s">
        <v>60</v>
      </c>
      <c r="H167" s="4"/>
      <c r="I167" s="4" t="str">
        <f t="shared" si="19"/>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50</v>
      </c>
      <c r="U167" s="4" t="str">
        <f>IF(LEN(Table2[[#This Row],[!Name]]) &gt; 0, Table2[[#This Row],[!Name]], "rg:None")</f>
        <v>districtEquipmentName</v>
      </c>
      <c r="V16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67" s="4" t="str">
        <f>IF(LEN(Table2[[#This Row],[!FK]])&gt;0,Table2[[#This Row],[!FK]],"rg:None")</f>
        <v>rg:None</v>
      </c>
      <c r="X167" s="14" t="str">
        <f>IF(LEN(concatif2(A:A,Table2[[#This Row],[!Table]],G:G,"Y",D:D,",")) &gt; 0,"rg:[ { 'req' : '"&amp;concatif2(A:A,Table2[[#This Row],[!Table]],G:G,"Y",D:D,"' }, { 'req': '")&amp;"'} ]","rg:[]")</f>
        <v>rg:[ { 'req' : 'id' }, { 'req': 'equipmentType' }, { 'req': 'district' }, { 'req': 'districtEquipmentName'} ]</v>
      </c>
      <c r="Y167" s="4" t="str">
        <f>IF(LEN(Table2[[#This Row],[!Unique]])&gt;0,IF(Table2[[#This Row],[!Type]] = "id", "rg:None","rg:True"),"rg:None")</f>
        <v>rg:None</v>
      </c>
    </row>
    <row r="168" spans="1:25" x14ac:dyDescent="0.35">
      <c r="A168" s="139" t="s">
        <v>562</v>
      </c>
      <c r="B168" s="124" t="s">
        <v>4</v>
      </c>
      <c r="C168" s="72"/>
      <c r="D168" s="139" t="s">
        <v>562</v>
      </c>
      <c r="E168" s="47"/>
      <c r="F168" s="12"/>
      <c r="G168" s="18"/>
      <c r="H168" s="18"/>
      <c r="I168" s="4" t="str">
        <f t="shared" ref="I168:I176" si="20">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table</v>
      </c>
      <c r="T168" s="4" t="str">
        <f>IF(LEN(Table2[[#This Row],[!Length]]) &gt; 0, Table2[[#This Row],[!Length]], "rg:None")</f>
        <v>rg:None</v>
      </c>
      <c r="U168" s="4" t="str">
        <f>IF(LEN(Table2[[#This Row],[!Name]]) &gt; 0, Table2[[#This Row],[!Name]], "rg:None")</f>
        <v>LocalAreaRotationList</v>
      </c>
      <c r="V168" s="4" t="str">
        <f>IF(LEN(Table2[[#This Row],[!Description]]) &gt; 0, Table2[[#This Row],[!Description]], "rg:None")</f>
        <v>rg:None</v>
      </c>
      <c r="W168" s="4" t="str">
        <f>IF(LEN(Table2[[#This Row],[!FK]])&gt;0,Table2[[#This Row],[!FK]],"rg:None")</f>
        <v>rg:None</v>
      </c>
      <c r="X168" s="14" t="str">
        <f>IF(LEN(concatif2(A:A,Table2[[#This Row],[!Table]],G:G,"Y",D:D,",")) &gt; 0,"rg:[ { 'req' : '"&amp;concatif2(A:A,Table2[[#This Row],[!Table]],G:G,"Y",D:D,"' }, { 'req': '")&amp;"'} ]","rg:[]")</f>
        <v>rg:[ { 'req' : 'id' }, { 'req': 'districtEquipmentType' }, { 'req': 'localArea'} ]</v>
      </c>
      <c r="Y168" s="4" t="str">
        <f>IF(LEN(Table2[[#This Row],[!Unique]])&gt;0,IF(Table2[[#This Row],[!Type]] = "id", "rg:None","rg:True"),"rg:None")</f>
        <v>rg:None</v>
      </c>
    </row>
    <row r="169" spans="1:25" x14ac:dyDescent="0.35">
      <c r="A169" s="139" t="s">
        <v>562</v>
      </c>
      <c r="B169" s="124" t="s">
        <v>6</v>
      </c>
      <c r="C169" s="72"/>
      <c r="D169" s="124" t="s">
        <v>6</v>
      </c>
      <c r="E169" s="47"/>
      <c r="F169" s="12"/>
      <c r="G169" s="126" t="s">
        <v>60</v>
      </c>
      <c r="H169" s="154" t="s">
        <v>60</v>
      </c>
      <c r="I169" s="4" t="str">
        <f t="shared" si="20"/>
        <v>Defs</v>
      </c>
      <c r="J169" s="4" t="str">
        <f>IF(Table2[[#This Row],[!Type]]=J$1, J$1,"rg:None")</f>
        <v>rg:None</v>
      </c>
      <c r="K169" s="4" t="str">
        <f>IF(Table2[[#This Row],[!Type]]=K$1, K$1,"rg:None")</f>
        <v>rg:None</v>
      </c>
      <c r="L169" s="4" t="str">
        <f>IF(Table2[[#This Row],[!Type]]=L$1, L$1,"rg:None")</f>
        <v>rg:None</v>
      </c>
      <c r="M169" s="4" t="str">
        <f>IF(Table2[[#This Row],[!Type]]=M$1, M$1,"rg:None")</f>
        <v>id</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id</v>
      </c>
      <c r="V169" s="4" t="str">
        <f>IF(LEN(Table2[[#This Row],[!Description]]) &gt; 0, Table2[[#This Row],[!Description]], "rg:None")</f>
        <v>rg:None</v>
      </c>
      <c r="W169" s="4" t="str">
        <f>IF(LEN(Table2[[#This Row],[!FK]])&gt;0,Table2[[#This Row],[!FK]],"rg:None")</f>
        <v>rg:None</v>
      </c>
      <c r="X169" s="14" t="str">
        <f>IF(LEN(concatif2(A:A,Table2[[#This Row],[!Table]],G:G,"Y",D:D,",")) &gt; 0,"rg:[ { 'req' : '"&amp;concatif2(A:A,Table2[[#This Row],[!Table]],G:G,"Y",D:D,"' }, { 'req': '")&amp;"'} ]","rg:[]")</f>
        <v>rg:[ { 'req' : 'id' }, { 'req': 'districtEquipmentType' }, { 'req': 'localArea'} ]</v>
      </c>
      <c r="Y169" s="4" t="str">
        <f>IF(LEN(Table2[[#This Row],[!Unique]])&gt;0,IF(Table2[[#This Row],[!Type]] = "id", "rg:None","rg:True"),"rg:None")</f>
        <v>rg:None</v>
      </c>
    </row>
    <row r="170" spans="1:25" x14ac:dyDescent="0.35">
      <c r="A170" s="139" t="s">
        <v>562</v>
      </c>
      <c r="B170" s="124" t="s">
        <v>8</v>
      </c>
      <c r="C170" s="72"/>
      <c r="D170" s="139" t="s">
        <v>563</v>
      </c>
      <c r="E170" s="129" t="s">
        <v>530</v>
      </c>
      <c r="F170" s="140" t="s">
        <v>557</v>
      </c>
      <c r="G170" s="154" t="s">
        <v>60</v>
      </c>
      <c r="H170" s="18"/>
      <c r="I170" s="4" t="str">
        <f t="shared" si="20"/>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districtEquipmentType</v>
      </c>
      <c r="V170" s="4" t="str">
        <f>IF(LEN(Table2[[#This Row],[!Description]]) &gt; 0, Table2[[#This Row],[!Description]], "rg:None")</f>
        <v>A foreign key reference to the system-generated unique identifier for an Equipment Type</v>
      </c>
      <c r="W170" s="4" t="str">
        <f>IF(LEN(Table2[[#This Row],[!FK]])&gt;0,Table2[[#This Row],[!FK]],"rg:None")</f>
        <v>DistrictEquipmentType</v>
      </c>
      <c r="X170" s="14" t="str">
        <f>IF(LEN(concatif2(A:A,Table2[[#This Row],[!Table]],G:G,"Y",D:D,",")) &gt; 0,"rg:[ { 'req' : '"&amp;concatif2(A:A,Table2[[#This Row],[!Table]],G:G,"Y",D:D,"' }, { 'req': '")&amp;"'} ]","rg:[]")</f>
        <v>rg:[ { 'req' : 'id' }, { 'req': 'districtEquipmentType' }, { 'req': 'localArea'} ]</v>
      </c>
      <c r="Y170" s="4" t="str">
        <f>IF(LEN(Table2[[#This Row],[!Unique]])&gt;0,IF(Table2[[#This Row],[!Type]] = "id", "rg:None","rg:True"),"rg:None")</f>
        <v>rg:None</v>
      </c>
    </row>
    <row r="171" spans="1:25" x14ac:dyDescent="0.35">
      <c r="A171" s="139" t="s">
        <v>562</v>
      </c>
      <c r="B171" s="139" t="s">
        <v>8</v>
      </c>
      <c r="C171" s="72"/>
      <c r="D171" s="139" t="s">
        <v>171</v>
      </c>
      <c r="E171" s="47"/>
      <c r="F171" s="140" t="s">
        <v>149</v>
      </c>
      <c r="G171" s="154" t="s">
        <v>60</v>
      </c>
      <c r="H171" s="18"/>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ref</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localArea</v>
      </c>
      <c r="V171" s="4" t="str">
        <f>IF(LEN(Table2[[#This Row],[!Description]]) &gt; 0, Table2[[#This Row],[!Description]], "rg:None")</f>
        <v>rg:None</v>
      </c>
      <c r="W171" s="4" t="str">
        <f>IF(LEN(Table2[[#This Row],[!FK]])&gt;0,Table2[[#This Row],[!FK]],"rg:None")</f>
        <v>LocalArea</v>
      </c>
      <c r="X171" s="14" t="str">
        <f>IF(LEN(concatif2(A:A,Table2[[#This Row],[!Table]],G:G,"Y",D:D,",")) &gt; 0,"rg:[ { 'req' : '"&amp;concatif2(A:A,Table2[[#This Row],[!Table]],G:G,"Y",D:D,"' }, { 'req': '")&amp;"'} ]","rg:[]")</f>
        <v>rg:[ { 'req' : 'id' }, { 'req': 'districtEquipmentType' }, { 'req': 'localArea'} ]</v>
      </c>
      <c r="Y171" s="4" t="str">
        <f>IF(LEN(Table2[[#This Row],[!Unique]])&gt;0,IF(Table2[[#This Row],[!Type]] = "id", "rg:None","rg:True"),"rg:None")</f>
        <v>rg:None</v>
      </c>
    </row>
    <row r="172" spans="1:25" ht="28.8" x14ac:dyDescent="0.35">
      <c r="A172" s="139" t="s">
        <v>562</v>
      </c>
      <c r="B172" s="124" t="s">
        <v>8</v>
      </c>
      <c r="C172" s="72"/>
      <c r="D172" s="124" t="s">
        <v>448</v>
      </c>
      <c r="E172" s="123" t="s">
        <v>525</v>
      </c>
      <c r="F172" s="125" t="s">
        <v>177</v>
      </c>
      <c r="G172" s="18"/>
      <c r="H172" s="18"/>
      <c r="I172" s="4" t="str">
        <f t="shared" si="20"/>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ref</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askNextBlock1</v>
      </c>
      <c r="V172" s="4" t="str">
        <f>IF(LEN(Table2[[#This Row],[!Description]]) &gt; 0, Table2[[#This Row],[!Description]], "rg:None")</f>
        <v>The id of the next piece of Block 1 Equipment to be asked for a Rental Request. If null, start from the first piece of equipment in Block 1.</v>
      </c>
      <c r="W172" s="4" t="str">
        <f>IF(LEN(Table2[[#This Row],[!FK]])&gt;0,Table2[[#This Row],[!FK]],"rg:None")</f>
        <v>Equipment</v>
      </c>
      <c r="X172" s="14" t="str">
        <f>IF(LEN(concatif2(A:A,Table2[[#This Row],[!Table]],G:G,"Y",D:D,",")) &gt; 0,"rg:[ { 'req' : '"&amp;concatif2(A:A,Table2[[#This Row],[!Table]],G:G,"Y",D:D,"' }, { 'req': '")&amp;"'} ]","rg:[]")</f>
        <v>rg:[ { 'req' : 'id' }, { 'req': 'districtEquipmentType' }, { 'req': 'localArea'} ]</v>
      </c>
      <c r="Y172" s="4" t="str">
        <f>IF(LEN(Table2[[#This Row],[!Unique]])&gt;0,IF(Table2[[#This Row],[!Type]] = "id", "rg:None","rg:True"),"rg:None")</f>
        <v>rg:None</v>
      </c>
    </row>
    <row r="173" spans="1:25" x14ac:dyDescent="0.35">
      <c r="A173" s="139" t="s">
        <v>562</v>
      </c>
      <c r="B173" s="131" t="s">
        <v>106</v>
      </c>
      <c r="C173" s="72"/>
      <c r="D173" s="131" t="s">
        <v>541</v>
      </c>
      <c r="E173" s="132" t="s">
        <v>540</v>
      </c>
      <c r="F173" s="12"/>
      <c r="G173" s="18"/>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askNextBlock1Seniority</v>
      </c>
      <c r="V173" s="4" t="str">
        <f>IF(LEN(Table2[[#This Row],[!Description]]) &gt; 0, Table2[[#This Row],[!Description]], "rg:None")</f>
        <v>The seniority score of the piece of equipment that is the next to be asked in Block 1.</v>
      </c>
      <c r="W173" s="4" t="str">
        <f>IF(LEN(Table2[[#This Row],[!FK]])&gt;0,Table2[[#This Row],[!FK]],"rg:None")</f>
        <v>rg:None</v>
      </c>
      <c r="X173" s="14" t="str">
        <f>IF(LEN(concatif2(A:A,Table2[[#This Row],[!Table]],G:G,"Y",D:D,",")) &gt; 0,"rg:[ { 'req' : '"&amp;concatif2(A:A,Table2[[#This Row],[!Table]],G:G,"Y",D:D,"' }, { 'req': '")&amp;"'} ]","rg:[]")</f>
        <v>rg:[ { 'req' : 'id' }, { 'req': 'districtEquipmentType' }, { 'req': 'localArea'} ]</v>
      </c>
      <c r="Y173" s="4" t="str">
        <f>IF(LEN(Table2[[#This Row],[!Unique]])&gt;0,IF(Table2[[#This Row],[!Type]] = "id", "rg:None","rg:True"),"rg:None")</f>
        <v>rg:None</v>
      </c>
    </row>
    <row r="174" spans="1:25" ht="28.8" x14ac:dyDescent="0.35">
      <c r="A174" s="139" t="s">
        <v>562</v>
      </c>
      <c r="B174" s="124" t="s">
        <v>8</v>
      </c>
      <c r="C174" s="72"/>
      <c r="D174" s="124" t="s">
        <v>523</v>
      </c>
      <c r="E174" s="123" t="s">
        <v>526</v>
      </c>
      <c r="F174" s="125" t="s">
        <v>177</v>
      </c>
      <c r="G174" s="18"/>
      <c r="H174" s="18"/>
      <c r="I174" s="4" t="str">
        <f t="shared" si="20"/>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askNextBlock2</v>
      </c>
      <c r="V174" s="4" t="str">
        <f>IF(LEN(Table2[[#This Row],[!Description]]) &gt; 0, Table2[[#This Row],[!Description]], "rg:None")</f>
        <v>The id of the next piece of Block 2 Equipment to be asked for a Rental Request. If null, start from the first piece of equipment in Block 2.</v>
      </c>
      <c r="W174" s="4" t="str">
        <f>IF(LEN(Table2[[#This Row],[!FK]])&gt;0,Table2[[#This Row],[!FK]],"rg:None")</f>
        <v>Equipment</v>
      </c>
      <c r="X174" s="14" t="str">
        <f>IF(LEN(concatif2(A:A,Table2[[#This Row],[!Table]],G:G,"Y",D:D,",")) &gt; 0,"rg:[ { 'req' : '"&amp;concatif2(A:A,Table2[[#This Row],[!Table]],G:G,"Y",D:D,"' }, { 'req': '")&amp;"'} ]","rg:[]")</f>
        <v>rg:[ { 'req' : 'id' }, { 'req': 'districtEquipmentType' }, { 'req': 'localArea'} ]</v>
      </c>
      <c r="Y174" s="4" t="str">
        <f>IF(LEN(Table2[[#This Row],[!Unique]])&gt;0,IF(Table2[[#This Row],[!Type]] = "id", "rg:None","rg:True"),"rg:None")</f>
        <v>rg:None</v>
      </c>
    </row>
    <row r="175" spans="1:25" x14ac:dyDescent="0.35">
      <c r="A175" s="139" t="s">
        <v>562</v>
      </c>
      <c r="B175" s="131" t="s">
        <v>106</v>
      </c>
      <c r="C175" s="72"/>
      <c r="D175" s="131" t="s">
        <v>542</v>
      </c>
      <c r="E175" s="166" t="s">
        <v>596</v>
      </c>
      <c r="F175" s="12"/>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askNextBlock2Seniority</v>
      </c>
      <c r="V175" s="4" t="str">
        <f>IF(LEN(Table2[[#This Row],[!Description]]) &gt; 0, Table2[[#This Row],[!Description]], "rg:None")</f>
        <v>The seniority score of the piece of equipment that is the next to be asked in Block 2.</v>
      </c>
      <c r="W175" s="4" t="str">
        <f>IF(LEN(Table2[[#This Row],[!FK]])&gt;0,Table2[[#This Row],[!FK]],"rg:None")</f>
        <v>rg:None</v>
      </c>
      <c r="X175" s="14" t="str">
        <f>IF(LEN(concatif2(A:A,Table2[[#This Row],[!Table]],G:G,"Y",D:D,",")) &gt; 0,"rg:[ { 'req' : '"&amp;concatif2(A:A,Table2[[#This Row],[!Table]],G:G,"Y",D:D,"' }, { 'req': '")&amp;"'} ]","rg:[]")</f>
        <v>rg:[ { 'req' : 'id' }, { 'req': 'districtEquipmentType' }, { 'req': 'localArea'} ]</v>
      </c>
      <c r="Y175" s="4" t="str">
        <f>IF(LEN(Table2[[#This Row],[!Unique]])&gt;0,IF(Table2[[#This Row],[!Type]] = "id", "rg:None","rg:True"),"rg:None")</f>
        <v>rg:None</v>
      </c>
    </row>
    <row r="176" spans="1:25" ht="28.8" x14ac:dyDescent="0.35">
      <c r="A176" s="139" t="s">
        <v>562</v>
      </c>
      <c r="B176" s="124" t="s">
        <v>8</v>
      </c>
      <c r="C176" s="72"/>
      <c r="D176" s="122" t="s">
        <v>524</v>
      </c>
      <c r="E176" s="123" t="s">
        <v>527</v>
      </c>
      <c r="F176" s="125" t="s">
        <v>177</v>
      </c>
      <c r="G176" s="18"/>
      <c r="H176" s="18"/>
      <c r="I176" s="4" t="str">
        <f t="shared" si="20"/>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askNextBlockOpen</v>
      </c>
      <c r="V176" s="4" t="str">
        <f>IF(LEN(Table2[[#This Row],[!Description]]) &gt; 0, Table2[[#This Row],[!Description]], "rg:None")</f>
        <v>The id of the next piece of Block Open Equipment to be asked for a Rental Request. If null, start from the first piece of equipment in Block Open.</v>
      </c>
      <c r="W176" s="4" t="str">
        <f>IF(LEN(Table2[[#This Row],[!FK]])&gt;0,Table2[[#This Row],[!FK]],"rg:None")</f>
        <v>Equipment</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5">
      <c r="A177" s="139" t="s">
        <v>562</v>
      </c>
      <c r="B177" s="131" t="s">
        <v>106</v>
      </c>
      <c r="C177" s="72"/>
      <c r="D177" s="167" t="s">
        <v>597</v>
      </c>
      <c r="E177" s="166" t="s">
        <v>598</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askNextBlockOpenSeniority</v>
      </c>
      <c r="V177" s="4" t="str">
        <f>IF(LEN(Table2[[#This Row],[!Description]]) &gt; 0, Table2[[#This Row],[!Description]], "rg:None")</f>
        <v>The seniority score of the piece of equipment that is the next to be asked in Block Open.</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5">
      <c r="A178" s="82" t="s">
        <v>180</v>
      </c>
      <c r="B178" s="5" t="s">
        <v>4</v>
      </c>
      <c r="D178" s="82" t="s">
        <v>180</v>
      </c>
      <c r="E178" s="76" t="s">
        <v>360</v>
      </c>
      <c r="F178" s="5" t="s">
        <v>5</v>
      </c>
      <c r="G178" s="4"/>
      <c r="H178" s="4"/>
      <c r="I178" s="4" t="str">
        <f t="shared" ref="I178:I197" si="21">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'equipment' }, { 'req': 'typeName'} ]</v>
      </c>
      <c r="Y178" s="4" t="str">
        <f>IF(LEN(Table2[[#This Row],[!Unique]])&gt;0,IF(Table2[[#This Row],[!Type]] = "id", "rg:None","rg:True"),"rg:None")</f>
        <v>rg:None</v>
      </c>
    </row>
    <row r="179" spans="1:25" x14ac:dyDescent="0.35">
      <c r="A179" s="82" t="s">
        <v>180</v>
      </c>
      <c r="B179" s="5" t="s">
        <v>6</v>
      </c>
      <c r="D179" s="5" t="s">
        <v>6</v>
      </c>
      <c r="E179" s="54" t="s">
        <v>293</v>
      </c>
      <c r="F179" s="5" t="s">
        <v>5</v>
      </c>
      <c r="G179" s="4" t="s">
        <v>60</v>
      </c>
      <c r="H179" s="155" t="s">
        <v>60</v>
      </c>
      <c r="I179" s="4" t="str">
        <f t="shared" si="21"/>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'equipment' }, { 'req': 'typeName'} ]</v>
      </c>
      <c r="Y179" s="4" t="str">
        <f>IF(LEN(Table2[[#This Row],[!Unique]])&gt;0,IF(Table2[[#This Row],[!Type]] = "id", "rg:None","rg:True"),"rg:None")</f>
        <v>rg:None</v>
      </c>
    </row>
    <row r="180" spans="1:25" x14ac:dyDescent="0.35">
      <c r="A180" s="82" t="s">
        <v>180</v>
      </c>
      <c r="B180" s="5" t="s">
        <v>8</v>
      </c>
      <c r="D180" s="82" t="s">
        <v>176</v>
      </c>
      <c r="F180" s="82" t="s">
        <v>177</v>
      </c>
      <c r="G180" s="155" t="s">
        <v>60</v>
      </c>
      <c r="H180" s="4"/>
      <c r="I180" s="4" t="str">
        <f t="shared" si="21"/>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'equipment' }, { 'req': 'typeName'} ]</v>
      </c>
      <c r="Y180" s="4" t="str">
        <f>IF(LEN(Table2[[#This Row],[!Unique]])&gt;0,IF(Table2[[#This Row],[!Type]] = "id", "rg:None","rg:True"),"rg:None")</f>
        <v>rg:None</v>
      </c>
    </row>
    <row r="181" spans="1:25" x14ac:dyDescent="0.35">
      <c r="A181" s="82" t="s">
        <v>180</v>
      </c>
      <c r="B181" s="120" t="s">
        <v>7</v>
      </c>
      <c r="C181" s="5">
        <v>100</v>
      </c>
      <c r="D181" s="137" t="s">
        <v>566</v>
      </c>
      <c r="E181" s="141" t="s">
        <v>565</v>
      </c>
      <c r="F181" s="82"/>
      <c r="G181" s="119" t="s">
        <v>60</v>
      </c>
      <c r="H181" s="4"/>
      <c r="I181" s="4" t="str">
        <f t="shared" si="21"/>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100</v>
      </c>
      <c r="U181" s="4" t="str">
        <f>IF(LEN(Table2[[#This Row],[!Name]]) &gt; 0, Table2[[#This Row],[!Name]], "rg:None")</f>
        <v>typeName</v>
      </c>
      <c r="V181" s="4" t="str">
        <f>IF(LEN(Table2[[#This Row],[!Description]]) &gt; 0, Table2[[#This Row],[!Description]], "rg:None")</f>
        <v>The name of the attachment type</v>
      </c>
      <c r="W181" s="4" t="str">
        <f>IF(LEN(Table2[[#This Row],[!FK]])&gt;0,Table2[[#This Row],[!FK]],"rg:None")</f>
        <v>rg:None</v>
      </c>
      <c r="X181" s="14" t="str">
        <f>IF(LEN(concatif2(A:A,Table2[[#This Row],[!Table]],G:G,"Y",D:D,",")) &gt; 0,"rg:[ { 'req' : '"&amp;concatif2(A:A,Table2[[#This Row],[!Table]],G:G,"Y",D:D,"' }, { 'req': '")&amp;"'} ]","rg:[]")</f>
        <v>rg:[ { 'req' : 'id' }, { 'req': 'equipment' }, { 'req': 'typeName'} ]</v>
      </c>
      <c r="Y181" s="4" t="str">
        <f>IF(LEN(Table2[[#This Row],[!Unique]])&gt;0,IF(Table2[[#This Row],[!Type]] = "id", "rg:None","rg:True"),"rg:None")</f>
        <v>rg:None</v>
      </c>
    </row>
    <row r="182" spans="1:25" ht="28.8" x14ac:dyDescent="0.35">
      <c r="A182" s="82" t="s">
        <v>180</v>
      </c>
      <c r="B182" s="5" t="s">
        <v>7</v>
      </c>
      <c r="C182" s="5">
        <v>2048</v>
      </c>
      <c r="D182" s="82" t="s">
        <v>14</v>
      </c>
      <c r="E182" s="141" t="s">
        <v>567</v>
      </c>
      <c r="F182" s="5" t="s">
        <v>5</v>
      </c>
      <c r="G182" s="4"/>
      <c r="H182" s="4"/>
      <c r="I182" s="4" t="str">
        <f t="shared" si="21"/>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Name is insufficient.</v>
      </c>
      <c r="W182" s="4" t="str">
        <f>IF(LEN(Table2[[#This Row],[!FK]])&gt;0,Table2[[#This Row],[!FK]],"rg:None")</f>
        <v>rg:None</v>
      </c>
      <c r="X182" s="14" t="str">
        <f>IF(LEN(concatif2(A:A,Table2[[#This Row],[!Table]],G:G,"Y",D:D,",")) &gt; 0,"rg:[ { 'req' : '"&amp;concatif2(A:A,Table2[[#This Row],[!Table]],G:G,"Y",D:D,"' }, { 'req': '")&amp;"'} ]","rg:[]")</f>
        <v>rg:[ { 'req' : 'id' }, { 'req': 'equipment' }, { 'req': 'typeName'} ]</v>
      </c>
      <c r="Y182" s="4" t="str">
        <f>IF(LEN(Table2[[#This Row],[!Unique]])&gt;0,IF(Table2[[#This Row],[!Type]] = "id", "rg:None","rg:True"),"rg:None")</f>
        <v>rg:None</v>
      </c>
    </row>
    <row r="183" spans="1:25" ht="86.4" x14ac:dyDescent="0.35">
      <c r="A183" s="5" t="s">
        <v>145</v>
      </c>
      <c r="B183" s="5" t="s">
        <v>4</v>
      </c>
      <c r="D183" s="5" t="s">
        <v>145</v>
      </c>
      <c r="E183" s="101" t="s">
        <v>295</v>
      </c>
      <c r="F183" s="5" t="s">
        <v>5</v>
      </c>
      <c r="G183" s="4"/>
      <c r="H183" s="4"/>
      <c r="I183" s="4" t="str">
        <f t="shared" si="21"/>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 { 'req': 'startDate' }, { 'req': 'endDate' }, { 'req': 'localArea' }, { 'req': 'equipment'} ]</v>
      </c>
      <c r="Y183" s="4" t="str">
        <f>IF(LEN(Table2[[#This Row],[!Unique]])&gt;0,IF(Table2[[#This Row],[!Type]] = "id", "rg:None","rg:True"),"rg:None")</f>
        <v>rg:None</v>
      </c>
    </row>
    <row r="184" spans="1:25" x14ac:dyDescent="0.35">
      <c r="A184" s="5" t="s">
        <v>145</v>
      </c>
      <c r="B184" s="5" t="s">
        <v>6</v>
      </c>
      <c r="D184" s="5" t="s">
        <v>6</v>
      </c>
      <c r="E184" s="54" t="s">
        <v>351</v>
      </c>
      <c r="F184" s="5" t="s">
        <v>5</v>
      </c>
      <c r="G184" s="4" t="s">
        <v>60</v>
      </c>
      <c r="H184" s="155" t="s">
        <v>60</v>
      </c>
      <c r="I184" s="4" t="str">
        <f t="shared" si="21"/>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 { 'req': 'startDate' }, { 'req': 'endDate' }, { 'req': 'localArea' }, { 'req': 'equipment'} ]</v>
      </c>
      <c r="Y184" s="4" t="str">
        <f>IF(LEN(Table2[[#This Row],[!Unique]])&gt;0,IF(Table2[[#This Row],[!Type]] = "id", "rg:None","rg:True"),"rg:None")</f>
        <v>rg:None</v>
      </c>
    </row>
    <row r="185" spans="1:25" x14ac:dyDescent="0.35">
      <c r="A185" s="5" t="s">
        <v>145</v>
      </c>
      <c r="B185" s="5" t="s">
        <v>12</v>
      </c>
      <c r="D185" s="80" t="s">
        <v>30</v>
      </c>
      <c r="E185" s="76" t="s">
        <v>414</v>
      </c>
      <c r="F185" s="5" t="s">
        <v>5</v>
      </c>
      <c r="G185" s="155" t="s">
        <v>60</v>
      </c>
      <c r="H185" s="4"/>
      <c r="I185" s="4" t="str">
        <f t="shared" si="21"/>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 { 'req': 'startDate' }, { 'req': 'endDate' }, { 'req': 'localArea' }, { 'req': 'equipment'} ]</v>
      </c>
      <c r="Y185" s="4" t="str">
        <f>IF(LEN(Table2[[#This Row],[!Unique]])&gt;0,IF(Table2[[#This Row],[!Type]] = "id", "rg:None","rg:True"),"rg:None")</f>
        <v>rg:None</v>
      </c>
    </row>
    <row r="186" spans="1:25" x14ac:dyDescent="0.35">
      <c r="A186" s="61" t="s">
        <v>145</v>
      </c>
      <c r="B186" s="61" t="s">
        <v>12</v>
      </c>
      <c r="C186" s="72"/>
      <c r="D186" s="61" t="s">
        <v>31</v>
      </c>
      <c r="E186" s="60" t="s">
        <v>415</v>
      </c>
      <c r="F186" s="12"/>
      <c r="G186" s="154" t="s">
        <v>60</v>
      </c>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 { 'req': 'startDate' }, { 'req': 'endDate' }, { 'req': 'localArea' }, { 'req': 'equipment'} ]</v>
      </c>
      <c r="Y186" s="4" t="str">
        <f>IF(LEN(Table2[[#This Row],[!Unique]])&gt;0,IF(Table2[[#This Row],[!Type]] = "id", "rg:None","rg:True"),"rg:None")</f>
        <v>rg:None</v>
      </c>
    </row>
    <row r="187" spans="1:25" x14ac:dyDescent="0.35">
      <c r="A187" s="5" t="s">
        <v>145</v>
      </c>
      <c r="B187" s="5" t="s">
        <v>8</v>
      </c>
      <c r="D187" s="82" t="s">
        <v>171</v>
      </c>
      <c r="E187" s="130" t="s">
        <v>529</v>
      </c>
      <c r="F187" s="82" t="s">
        <v>149</v>
      </c>
      <c r="G187" s="155" t="s">
        <v>60</v>
      </c>
      <c r="H187" s="4"/>
      <c r="I187" s="4" t="str">
        <f t="shared" si="21"/>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A foreign key reference to the system-generated unique identifier for a Local Area</v>
      </c>
      <c r="W187" s="4" t="str">
        <f>IF(LEN(Table2[[#This Row],[!FK]])&gt;0,Table2[[#This Row],[!FK]],"rg:None")</f>
        <v>LocalArea</v>
      </c>
      <c r="X187" s="14" t="str">
        <f>IF(LEN(concatif2(A:A,Table2[[#This Row],[!Table]],G:G,"Y",D:D,",")) &gt; 0,"rg:[ { 'req' : '"&amp;concatif2(A:A,Table2[[#This Row],[!Table]],G:G,"Y",D:D,"' }, { 'req': '")&amp;"'} ]","rg:[]")</f>
        <v>rg:[ { 'req' : 'id' }, { 'req': 'startDate' }, { 'req': 'endDate' }, { 'req': 'localArea' }, { 'req': 'equipment'} ]</v>
      </c>
      <c r="Y187" s="4" t="str">
        <f>IF(LEN(Table2[[#This Row],[!Unique]])&gt;0,IF(Table2[[#This Row],[!Type]] = "id", "rg:None","rg:True"),"rg:None")</f>
        <v>rg:None</v>
      </c>
    </row>
    <row r="188" spans="1:25" x14ac:dyDescent="0.35">
      <c r="A188" s="5" t="s">
        <v>145</v>
      </c>
      <c r="B188" s="5" t="s">
        <v>8</v>
      </c>
      <c r="D188" s="82" t="s">
        <v>176</v>
      </c>
      <c r="E188" s="130" t="s">
        <v>532</v>
      </c>
      <c r="F188" s="82" t="s">
        <v>177</v>
      </c>
      <c r="G188" s="155" t="s">
        <v>60</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A foreign key reference to the system-generated unique identifier for an Equipment</v>
      </c>
      <c r="W188" s="4" t="str">
        <f>IF(LEN(Table2[[#This Row],[!FK]])&gt;0,Table2[[#This Row],[!FK]],"rg:None")</f>
        <v>Equipment</v>
      </c>
      <c r="X188" s="14" t="str">
        <f>IF(LEN(concatif2(A:A,Table2[[#This Row],[!Table]],G:G,"Y",D:D,",")) &gt; 0,"rg:[ { 'req' : '"&amp;concatif2(A:A,Table2[[#This Row],[!Table]],G:G,"Y",D:D,"' }, { 'req': '")&amp;"'} ]","rg:[]")</f>
        <v>rg:[ { 'req' : 'id' }, { 'req': 'startDate' }, { 'req': 'endDate' }, { 'req': 'localArea' }, { 'req': 'equipment'} ]</v>
      </c>
      <c r="Y188" s="4" t="str">
        <f>IF(LEN(Table2[[#This Row],[!Unique]])&gt;0,IF(Table2[[#This Row],[!Type]] = "id", "rg:None","rg:True"),"rg:None")</f>
        <v>rg:None</v>
      </c>
    </row>
    <row r="189" spans="1:25" ht="28.8" x14ac:dyDescent="0.35">
      <c r="A189" s="5" t="s">
        <v>145</v>
      </c>
      <c r="B189" s="157" t="s">
        <v>13</v>
      </c>
      <c r="D189" s="82" t="s">
        <v>186</v>
      </c>
      <c r="E189" s="101" t="s">
        <v>297</v>
      </c>
      <c r="F189" s="5" t="s">
        <v>5</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integer</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 { 'req': 'startDate' }, { 'req': 'endDate' }, { 'req': 'localArea' }, { 'req': 'equipment'} ]</v>
      </c>
      <c r="Y189" s="4" t="str">
        <f>IF(LEN(Table2[[#This Row],[!Unique]])&gt;0,IF(Table2[[#This Row],[!Type]] = "id", "rg:None","rg:True"),"rg:None")</f>
        <v>rg:None</v>
      </c>
    </row>
    <row r="190" spans="1:25" x14ac:dyDescent="0.35">
      <c r="A190" s="5" t="s">
        <v>145</v>
      </c>
      <c r="B190" s="5" t="s">
        <v>8</v>
      </c>
      <c r="D190" s="82" t="s">
        <v>146</v>
      </c>
      <c r="E190" s="130" t="s">
        <v>536</v>
      </c>
      <c r="F190" s="82" t="s">
        <v>143</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A foreign key reference to the system-generated unique identifier for an Owner</v>
      </c>
      <c r="W190" s="4" t="str">
        <f>IF(LEN(Table2[[#This Row],[!FK]])&gt;0,Table2[[#This Row],[!FK]],"rg:None")</f>
        <v>Owner</v>
      </c>
      <c r="X190" s="14" t="str">
        <f>IF(LEN(concatif2(A:A,Table2[[#This Row],[!Table]],G:G,"Y",D:D,",")) &gt; 0,"rg:[ { 'req' : '"&amp;concatif2(A:A,Table2[[#This Row],[!Table]],G:G,"Y",D:D,"' }, { 'req': '")&amp;"'} ]","rg:[]")</f>
        <v>rg:[ { 'req' : 'id' }, { 'req': 'startDate' }, { 'req': 'endDate' }, { 'req': 'localArea' }, { 'req': 'equipment'} ]</v>
      </c>
      <c r="Y190" s="4" t="str">
        <f>IF(LEN(Table2[[#This Row],[!Unique]])&gt;0,IF(Table2[[#This Row],[!Type]] = "id", "rg:None","rg:True"),"rg:None")</f>
        <v>rg:None</v>
      </c>
    </row>
    <row r="191" spans="1:25" ht="28.8" x14ac:dyDescent="0.35">
      <c r="A191" s="5" t="s">
        <v>145</v>
      </c>
      <c r="B191" s="5" t="s">
        <v>7</v>
      </c>
      <c r="C191" s="5">
        <v>150</v>
      </c>
      <c r="D191" s="80" t="s">
        <v>395</v>
      </c>
      <c r="E191" s="76" t="s">
        <v>396</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ht="57.6" x14ac:dyDescent="0.35">
      <c r="A192" s="5" t="s">
        <v>145</v>
      </c>
      <c r="B192" s="5" t="s">
        <v>106</v>
      </c>
      <c r="D192" s="5" t="s">
        <v>136</v>
      </c>
      <c r="E192" s="101" t="s">
        <v>296</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5">
      <c r="A193" s="5" t="s">
        <v>145</v>
      </c>
      <c r="B193" s="5" t="s">
        <v>106</v>
      </c>
      <c r="D193" s="95" t="s">
        <v>241</v>
      </c>
      <c r="E193" s="96" t="s">
        <v>242</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serviceHoursLastYear</v>
      </c>
      <c r="V193" s="4" t="str">
        <f>IF(LEN(Table2[[#This Row],[!Description]]) &gt; 0, Table2[[#This Row],[!Description]], "rg:None")</f>
        <v>Number of hours of service by this piece of equipment in the previous fiscal year</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ht="28.8" x14ac:dyDescent="0.35">
      <c r="A194" s="5" t="s">
        <v>145</v>
      </c>
      <c r="B194" s="5" t="s">
        <v>106</v>
      </c>
      <c r="D194" s="95" t="s">
        <v>243</v>
      </c>
      <c r="E194" s="96" t="s">
        <v>244</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serviceHoursTwoYearsAgo</v>
      </c>
      <c r="V194" s="4" t="str">
        <f>IF(LEN(Table2[[#This Row],[!Description]]) &gt; 0, Table2[[#This Row],[!Description]], "rg:None")</f>
        <v>Number of hours of service by this piece of equipment in the fiscal year before the last one - e.g. if current year is FY2018 then hours in FY2016</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ht="28.8" x14ac:dyDescent="0.35">
      <c r="A195" s="5" t="s">
        <v>145</v>
      </c>
      <c r="B195" s="5" t="s">
        <v>106</v>
      </c>
      <c r="D195" s="95" t="s">
        <v>246</v>
      </c>
      <c r="E195" s="96" t="s">
        <v>245</v>
      </c>
      <c r="F195" s="5" t="s">
        <v>5</v>
      </c>
      <c r="G195" s="4"/>
      <c r="H195" s="4"/>
      <c r="I195" s="4" t="str">
        <f t="shared" ref="I195:I196" si="22">IF(LEN(A195) &gt; 0,"Defs","-")</f>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serviceHoursThreeYearsAgo</v>
      </c>
      <c r="V195" s="4" t="str">
        <f>IF(LEN(Table2[[#This Row],[!Description]]) &gt; 0, Table2[[#This Row],[!Description]], "rg:None")</f>
        <v>Number of hours of service by this piece of equipment in the fiscal year three years ago - e.g. if current year is FY2018 then hours in FY2015</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ht="43.2" x14ac:dyDescent="0.35">
      <c r="A196" s="5" t="s">
        <v>145</v>
      </c>
      <c r="B196" s="69" t="s">
        <v>9</v>
      </c>
      <c r="C196" s="72"/>
      <c r="D196" s="69" t="s">
        <v>433</v>
      </c>
      <c r="E196" s="70" t="s">
        <v>434</v>
      </c>
      <c r="F196" s="12"/>
      <c r="G196" s="18"/>
      <c r="H196" s="18"/>
      <c r="I196" s="4" t="str">
        <f t="shared" si="22"/>
        <v>Defs</v>
      </c>
      <c r="J196" s="4" t="str">
        <f>IF(Table2[[#This Row],[!Type]]=J$1, J$1,"rg:None")</f>
        <v>boolean</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isSeniorityOverridden</v>
      </c>
      <c r="V19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5">
      <c r="A197" s="5" t="s">
        <v>145</v>
      </c>
      <c r="B197" s="69" t="s">
        <v>7</v>
      </c>
      <c r="C197" s="72">
        <v>2048</v>
      </c>
      <c r="D197" s="69" t="s">
        <v>432</v>
      </c>
      <c r="E197" s="70" t="s">
        <v>435</v>
      </c>
      <c r="F197" s="12"/>
      <c r="G197" s="18"/>
      <c r="H197" s="18"/>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2048</v>
      </c>
      <c r="U197" s="4" t="str">
        <f>IF(LEN(Table2[[#This Row],[!Name]]) &gt; 0, Table2[[#This Row],[!Name]], "rg:None")</f>
        <v>seniorityOverrideReason</v>
      </c>
      <c r="V197" s="4" t="str">
        <f>IF(LEN(Table2[[#This Row],[!Description]]) &gt; 0, Table2[[#This Row],[!Description]], "rg:None")</f>
        <v>A text reason for why the piece of equipments underlying data was overridden to change their seniority number.</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5">
      <c r="A198" s="5" t="s">
        <v>143</v>
      </c>
      <c r="B198" s="5" t="s">
        <v>4</v>
      </c>
      <c r="D198" s="5" t="s">
        <v>143</v>
      </c>
      <c r="E198" s="76" t="s">
        <v>361</v>
      </c>
      <c r="F198" s="5" t="s">
        <v>5</v>
      </c>
      <c r="G198" s="4"/>
      <c r="H198" s="4"/>
      <c r="I198" s="4" t="str">
        <f t="shared" ref="I198:I213" si="23">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 { 'req': 'organizationName' }, { 'req': 'meetsResidency' }, { 'req': 'localArea' }, { 'req': 'status'} ]</v>
      </c>
      <c r="Y198" s="4" t="str">
        <f>IF(LEN(Table2[[#This Row],[!Unique]])&gt;0,IF(Table2[[#This Row],[!Type]] = "id", "rg:None","rg:True"),"rg:None")</f>
        <v>rg:None</v>
      </c>
    </row>
    <row r="199" spans="1:25" x14ac:dyDescent="0.35">
      <c r="A199" s="5" t="s">
        <v>143</v>
      </c>
      <c r="B199" s="5" t="s">
        <v>6</v>
      </c>
      <c r="D199" s="5" t="s">
        <v>6</v>
      </c>
      <c r="E199" s="54" t="s">
        <v>352</v>
      </c>
      <c r="F199" s="5" t="s">
        <v>5</v>
      </c>
      <c r="G199" s="4" t="s">
        <v>60</v>
      </c>
      <c r="H199" s="63" t="s">
        <v>60</v>
      </c>
      <c r="I199" s="4" t="str">
        <f t="shared" si="23"/>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 { 'req': 'organizationName' }, { 'req': 'meetsResidency' }, { 'req': 'localArea' }, { 'req': 'status'} ]</v>
      </c>
      <c r="Y199" s="4" t="str">
        <f>IF(LEN(Table2[[#This Row],[!Unique]])&gt;0,IF(Table2[[#This Row],[!Type]] = "id", "rg:None","rg:True"),"rg:None")</f>
        <v>rg:None</v>
      </c>
    </row>
    <row r="200" spans="1:25" ht="43.2" x14ac:dyDescent="0.35">
      <c r="A200" s="5" t="s">
        <v>143</v>
      </c>
      <c r="B200" s="5" t="s">
        <v>7</v>
      </c>
      <c r="C200" s="5">
        <v>20</v>
      </c>
      <c r="D200" s="92" t="s">
        <v>417</v>
      </c>
      <c r="E200" s="100" t="s">
        <v>298</v>
      </c>
      <c r="F200" s="5" t="s">
        <v>5</v>
      </c>
      <c r="G200" s="63" t="s">
        <v>60</v>
      </c>
      <c r="H200" s="63" t="s">
        <v>60</v>
      </c>
      <c r="I200" s="4" t="str">
        <f t="shared" si="2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 { 'req': 'organizationName' }, { 'req': 'meetsResidency' }, { 'req': 'localArea' }, { 'req': 'status'} ]</v>
      </c>
      <c r="Y200" s="4" t="str">
        <f>IF(LEN(Table2[[#This Row],[!Unique]])&gt;0,IF(Table2[[#This Row],[!Type]] = "id", "rg:None","rg:True"),"rg:None")</f>
        <v>rg:True</v>
      </c>
    </row>
    <row r="201" spans="1:25" ht="28.8" x14ac:dyDescent="0.35">
      <c r="A201" s="61" t="s">
        <v>143</v>
      </c>
      <c r="B201" s="61" t="s">
        <v>7</v>
      </c>
      <c r="C201" s="72">
        <v>150</v>
      </c>
      <c r="D201" s="61" t="s">
        <v>393</v>
      </c>
      <c r="E201" s="60" t="s">
        <v>394</v>
      </c>
      <c r="F201" s="12"/>
      <c r="G201" s="154" t="s">
        <v>60</v>
      </c>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 { 'req': 'organizationName' }, { 'req': 'meetsResidency' }, { 'req': 'localArea' }, { 'req': 'status'} ]</v>
      </c>
      <c r="Y201" s="4" t="str">
        <f>IF(LEN(Table2[[#This Row],[!Unique]])&gt;0,IF(Table2[[#This Row],[!Type]] = "id", "rg:None","rg:True"),"rg:None")</f>
        <v>rg:None</v>
      </c>
    </row>
    <row r="202" spans="1:25" ht="28.8" x14ac:dyDescent="0.35">
      <c r="A202" s="69" t="s">
        <v>143</v>
      </c>
      <c r="B202" s="69" t="s">
        <v>7</v>
      </c>
      <c r="C202" s="72">
        <v>150</v>
      </c>
      <c r="D202" s="71" t="s">
        <v>428</v>
      </c>
      <c r="E202" s="70" t="s">
        <v>429</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 { 'req': 'organizationName' }, { 'req': 'meetsResidency' }, { 'req': 'localArea' }, { 'req': 'status'} ]</v>
      </c>
      <c r="Y202" s="4" t="str">
        <f>IF(LEN(Table2[[#This Row],[!Unique]])&gt;0,IF(Table2[[#This Row],[!Type]] = "id", "rg:None","rg:True"),"rg:None")</f>
        <v>rg:None</v>
      </c>
    </row>
    <row r="203" spans="1:25" ht="28.8" x14ac:dyDescent="0.35">
      <c r="A203" s="69" t="s">
        <v>143</v>
      </c>
      <c r="B203" s="69" t="s">
        <v>7</v>
      </c>
      <c r="C203" s="72">
        <v>150</v>
      </c>
      <c r="D203" s="71" t="s">
        <v>437</v>
      </c>
      <c r="E203" s="70" t="s">
        <v>430</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 { 'req': 'organizationName' }, { 'req': 'meetsResidency' }, { 'req': 'localArea' }, { 'req': 'status'} ]</v>
      </c>
      <c r="Y203" s="4" t="str">
        <f>IF(LEN(Table2[[#This Row],[!Unique]])&gt;0,IF(Table2[[#This Row],[!Type]] = "id", "rg:None","rg:True"),"rg:None")</f>
        <v>rg:None</v>
      </c>
    </row>
    <row r="204" spans="1:25" ht="43.2" x14ac:dyDescent="0.35">
      <c r="A204" s="69" t="s">
        <v>143</v>
      </c>
      <c r="B204" s="69" t="s">
        <v>9</v>
      </c>
      <c r="C204" s="72"/>
      <c r="D204" s="71" t="s">
        <v>436</v>
      </c>
      <c r="E204" s="70" t="s">
        <v>431</v>
      </c>
      <c r="F204" s="12"/>
      <c r="G204" s="154" t="s">
        <v>60</v>
      </c>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 { 'req': 'organizationName' }, { 'req': 'meetsResidency' }, { 'req': 'localArea' }, { 'req': 'status'} ]</v>
      </c>
      <c r="Y204" s="4" t="str">
        <f>IF(LEN(Table2[[#This Row],[!Unique]])&gt;0,IF(Table2[[#This Row],[!Type]] = "id", "rg:None","rg:True"),"rg:None")</f>
        <v>rg:None</v>
      </c>
    </row>
    <row r="205" spans="1:25" x14ac:dyDescent="0.35">
      <c r="A205" s="5" t="s">
        <v>143</v>
      </c>
      <c r="B205" s="23" t="s">
        <v>8</v>
      </c>
      <c r="C205" s="72"/>
      <c r="D205" s="23" t="s">
        <v>188</v>
      </c>
      <c r="E205" s="103" t="s">
        <v>189</v>
      </c>
      <c r="F205" s="77" t="s">
        <v>170</v>
      </c>
      <c r="G205" s="18"/>
      <c r="H205" s="18"/>
      <c r="I205" s="4" t="str">
        <f t="shared" si="23"/>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 { 'req': 'organizationName' }, { 'req': 'meetsResidency' }, { 'req': 'localArea' }, { 'req': 'status'} ]</v>
      </c>
      <c r="Y205" s="4" t="str">
        <f>IF(LEN(Table2[[#This Row],[!Unique]])&gt;0,IF(Table2[[#This Row],[!Type]] = "id", "rg:None","rg:True"),"rg:None")</f>
        <v>rg:None</v>
      </c>
    </row>
    <row r="206" spans="1:25" x14ac:dyDescent="0.35">
      <c r="A206" s="5" t="s">
        <v>143</v>
      </c>
      <c r="B206" s="102" t="s">
        <v>8</v>
      </c>
      <c r="D206" s="102" t="s">
        <v>171</v>
      </c>
      <c r="F206" s="102" t="s">
        <v>149</v>
      </c>
      <c r="G206" s="155" t="s">
        <v>60</v>
      </c>
      <c r="H206" s="4"/>
      <c r="I206" s="4" t="str">
        <f t="shared" si="23"/>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ht="28.8" x14ac:dyDescent="0.35">
      <c r="A207" s="5" t="s">
        <v>143</v>
      </c>
      <c r="B207" s="102" t="s">
        <v>9</v>
      </c>
      <c r="D207" s="102" t="s">
        <v>299</v>
      </c>
      <c r="E207" s="101" t="s">
        <v>300</v>
      </c>
      <c r="F207" s="5" t="s">
        <v>5</v>
      </c>
      <c r="G207" s="4"/>
      <c r="H207" s="4"/>
      <c r="I207" s="4" t="str">
        <f t="shared" si="23"/>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5">
      <c r="A208" s="111" t="s">
        <v>143</v>
      </c>
      <c r="B208" s="111" t="s">
        <v>7</v>
      </c>
      <c r="C208" s="72">
        <v>50</v>
      </c>
      <c r="D208" s="111" t="s">
        <v>494</v>
      </c>
      <c r="E208" s="112" t="s">
        <v>492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x14ac:dyDescent="0.35">
      <c r="A209" s="5" t="s">
        <v>143</v>
      </c>
      <c r="B209" s="82" t="s">
        <v>12</v>
      </c>
      <c r="D209" s="116" t="s">
        <v>495</v>
      </c>
      <c r="E209" s="113" t="s">
        <v>493</v>
      </c>
      <c r="F209" s="5" t="s">
        <v>5</v>
      </c>
      <c r="G209" s="4"/>
      <c r="H209" s="4"/>
      <c r="I209" s="4" t="str">
        <f t="shared" si="23"/>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57.6" x14ac:dyDescent="0.35">
      <c r="A210" s="5" t="s">
        <v>143</v>
      </c>
      <c r="B210" s="82" t="s">
        <v>12</v>
      </c>
      <c r="D210" s="82" t="s">
        <v>172</v>
      </c>
      <c r="E210" s="101" t="s">
        <v>301</v>
      </c>
      <c r="F210" s="5" t="s">
        <v>5</v>
      </c>
      <c r="G210" s="4"/>
      <c r="H210" s="4"/>
      <c r="I210" s="4" t="str">
        <f t="shared" si="23"/>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57.6" x14ac:dyDescent="0.35">
      <c r="A211" s="5" t="s">
        <v>143</v>
      </c>
      <c r="B211" s="5" t="s">
        <v>7</v>
      </c>
      <c r="C211" s="5">
        <v>50</v>
      </c>
      <c r="D211" s="102" t="s">
        <v>226</v>
      </c>
      <c r="E211" s="101" t="s">
        <v>302</v>
      </c>
      <c r="F211" s="5" t="s">
        <v>5</v>
      </c>
      <c r="G211" s="155" t="s">
        <v>60</v>
      </c>
      <c r="H211" s="4"/>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5">
      <c r="A212" s="5" t="s">
        <v>143</v>
      </c>
      <c r="B212" s="5" t="s">
        <v>7</v>
      </c>
      <c r="C212" s="5">
        <v>50</v>
      </c>
      <c r="D212" s="102" t="s">
        <v>247</v>
      </c>
      <c r="E212" s="79" t="s">
        <v>422</v>
      </c>
      <c r="F212" s="5" t="s">
        <v>5</v>
      </c>
      <c r="G212" s="4"/>
      <c r="H212" s="4"/>
      <c r="I212" s="4" t="str">
        <f t="shared" si="23"/>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5">
      <c r="A213" s="5" t="s">
        <v>143</v>
      </c>
      <c r="B213" s="5" t="s">
        <v>7</v>
      </c>
      <c r="C213" s="5">
        <v>2048</v>
      </c>
      <c r="D213" s="5" t="s">
        <v>138</v>
      </c>
      <c r="E213" s="101" t="s">
        <v>303</v>
      </c>
      <c r="F213" s="5" t="s">
        <v>5</v>
      </c>
      <c r="G213" s="4"/>
      <c r="H213" s="4"/>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ht="28.8" x14ac:dyDescent="0.35">
      <c r="A214" s="64" t="s">
        <v>143</v>
      </c>
      <c r="B214" s="64" t="s">
        <v>12</v>
      </c>
      <c r="C214" s="72"/>
      <c r="D214" s="64" t="s">
        <v>184</v>
      </c>
      <c r="E214" s="65" t="s">
        <v>418</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5">
      <c r="A215" s="21" t="s">
        <v>143</v>
      </c>
      <c r="B215" s="21" t="s">
        <v>19</v>
      </c>
      <c r="C215" s="72"/>
      <c r="D215" s="21" t="s">
        <v>174</v>
      </c>
      <c r="E215" s="47"/>
      <c r="F215" s="82" t="s">
        <v>170</v>
      </c>
      <c r="G215" s="18"/>
      <c r="H215" s="18"/>
      <c r="I215" s="4" t="str">
        <f t="shared" ref="I215:I218" si="24">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5">
      <c r="A216" s="21" t="s">
        <v>143</v>
      </c>
      <c r="B216" s="21" t="s">
        <v>19</v>
      </c>
      <c r="C216" s="72"/>
      <c r="D216" s="21" t="s">
        <v>162</v>
      </c>
      <c r="E216" s="47"/>
      <c r="F216" s="22" t="s">
        <v>144</v>
      </c>
      <c r="G216" s="18"/>
      <c r="H216" s="18"/>
      <c r="I216" s="4"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5">
      <c r="A217" s="21" t="s">
        <v>143</v>
      </c>
      <c r="B217" s="21" t="s">
        <v>19</v>
      </c>
      <c r="C217" s="72"/>
      <c r="D217" s="21" t="s">
        <v>173</v>
      </c>
      <c r="E217" s="47"/>
      <c r="F217" s="81" t="s">
        <v>156</v>
      </c>
      <c r="G217" s="18"/>
      <c r="H217" s="18"/>
      <c r="I217" s="4"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5">
      <c r="A218" s="21" t="s">
        <v>143</v>
      </c>
      <c r="B218" s="21" t="s">
        <v>19</v>
      </c>
      <c r="C218" s="72"/>
      <c r="D218" s="21" t="s">
        <v>175</v>
      </c>
      <c r="E218" s="47"/>
      <c r="F218" s="82" t="s">
        <v>158</v>
      </c>
      <c r="G218" s="18"/>
      <c r="H218" s="18"/>
      <c r="I218" s="4"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43.2" x14ac:dyDescent="0.35">
      <c r="A219" s="150" t="s">
        <v>580</v>
      </c>
      <c r="B219" s="145" t="s">
        <v>4</v>
      </c>
      <c r="C219" s="72"/>
      <c r="D219" s="151" t="s">
        <v>580</v>
      </c>
      <c r="E219" s="146" t="s">
        <v>569</v>
      </c>
      <c r="F219" s="12"/>
      <c r="G219" s="18"/>
      <c r="H219" s="18"/>
      <c r="I219" s="4" t="str">
        <f t="shared" ref="I219:I225" si="25">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LookupList</v>
      </c>
      <c r="V21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19" s="4" t="str">
        <f>IF(LEN(Table2[[#This Row],[!FK]])&gt;0,Table2[[#This Row],[!FK]],"rg:None")</f>
        <v>rg:None</v>
      </c>
      <c r="X219" s="14" t="str">
        <f>IF(LEN(concatif2(A:A,Table2[[#This Row],[!Table]],G:G,"Y",D:D,",")) &gt; 0,"rg:[ { 'req' : '"&amp;concatif2(A:A,Table2[[#This Row],[!Table]],G:G,"Y",D:D,"' }, { 'req': '")&amp;"'} ]","rg:[]")</f>
        <v>rg:[ { 'req' : 'id' }, { 'req': 'contextName' }, { 'req': 'isDefault' }, { 'req': 'codeName' }, { 'req': 'value'} ]</v>
      </c>
      <c r="Y219" s="4" t="str">
        <f>IF(LEN(Table2[[#This Row],[!Unique]])&gt;0,IF(Table2[[#This Row],[!Type]] = "id", "rg:None","rg:True"),"rg:None")</f>
        <v>rg:None</v>
      </c>
    </row>
    <row r="220" spans="1:25" x14ac:dyDescent="0.3">
      <c r="A220" s="150" t="s">
        <v>580</v>
      </c>
      <c r="B220" s="145" t="s">
        <v>6</v>
      </c>
      <c r="C220" s="72"/>
      <c r="D220" s="145" t="s">
        <v>6</v>
      </c>
      <c r="E220" s="147" t="s">
        <v>570</v>
      </c>
      <c r="F220" s="12"/>
      <c r="G220" s="148" t="s">
        <v>60</v>
      </c>
      <c r="H220" s="148" t="s">
        <v>60</v>
      </c>
      <c r="I220" s="4" t="str">
        <f t="shared" si="25"/>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LookupList</v>
      </c>
      <c r="W220" s="4" t="str">
        <f>IF(LEN(Table2[[#This Row],[!FK]])&gt;0,Table2[[#This Row],[!FK]],"rg:None")</f>
        <v>rg:None</v>
      </c>
      <c r="X220" s="14" t="str">
        <f>IF(LEN(concatif2(A:A,Table2[[#This Row],[!Table]],G:G,"Y",D:D,",")) &gt; 0,"rg:[ { 'req' : '"&amp;concatif2(A:A,Table2[[#This Row],[!Table]],G:G,"Y",D:D,"' }, { 'req': '")&amp;"'} ]","rg:[]")</f>
        <v>rg:[ { 'req' : 'id' }, { 'req': 'contextName' }, { 'req': 'isDefault' }, { 'req': 'codeName' }, { 'req': 'value'} ]</v>
      </c>
      <c r="Y220" s="4" t="str">
        <f>IF(LEN(Table2[[#This Row],[!Unique]])&gt;0,IF(Table2[[#This Row],[!Type]] = "id", "rg:None","rg:True"),"rg:None")</f>
        <v>rg:None</v>
      </c>
    </row>
    <row r="221" spans="1:25" ht="28.8" x14ac:dyDescent="0.35">
      <c r="A221" s="150" t="s">
        <v>580</v>
      </c>
      <c r="B221" s="145" t="s">
        <v>7</v>
      </c>
      <c r="C221" s="72">
        <v>100</v>
      </c>
      <c r="D221" s="145" t="s">
        <v>571</v>
      </c>
      <c r="E221" s="146" t="s">
        <v>572</v>
      </c>
      <c r="F221" s="12"/>
      <c r="G221" s="154" t="s">
        <v>60</v>
      </c>
      <c r="H221" s="18"/>
      <c r="I221" s="4" t="str">
        <f t="shared" si="25"/>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contextName</v>
      </c>
      <c r="V221" s="4" t="str">
        <f>IF(LEN(Table2[[#This Row],[!Description]]) &gt; 0, Table2[[#This Row],[!Description]], "rg:None")</f>
        <v>The context within the app in which this lookup list if used. Defined and referenced in the code of the application.</v>
      </c>
      <c r="W221" s="4" t="str">
        <f>IF(LEN(Table2[[#This Row],[!FK]])&gt;0,Table2[[#This Row],[!FK]],"rg:None")</f>
        <v>rg:None</v>
      </c>
      <c r="X221" s="14" t="str">
        <f>IF(LEN(concatif2(A:A,Table2[[#This Row],[!Table]],G:G,"Y",D:D,",")) &gt; 0,"rg:[ { 'req' : '"&amp;concatif2(A:A,Table2[[#This Row],[!Table]],G:G,"Y",D:D,"' }, { 'req': '")&amp;"'} ]","rg:[]")</f>
        <v>rg:[ { 'req' : 'id' }, { 'req': 'contextName' }, { 'req': 'isDefault' }, { 'req': 'codeName' }, { 'req': 'value'} ]</v>
      </c>
      <c r="Y221" s="4" t="str">
        <f>IF(LEN(Table2[[#This Row],[!Unique]])&gt;0,IF(Table2[[#This Row],[!Type]] = "id", "rg:None","rg:True"),"rg:None")</f>
        <v>rg:None</v>
      </c>
    </row>
    <row r="222" spans="1:25" ht="28.8" x14ac:dyDescent="0.35">
      <c r="A222" s="150" t="s">
        <v>580</v>
      </c>
      <c r="B222" s="145" t="s">
        <v>9</v>
      </c>
      <c r="C222" s="72"/>
      <c r="D222" s="145" t="s">
        <v>26</v>
      </c>
      <c r="E222" s="146" t="s">
        <v>573</v>
      </c>
      <c r="F222" s="12"/>
      <c r="G222" s="154" t="s">
        <v>60</v>
      </c>
      <c r="H222" s="18"/>
      <c r="I222" s="4" t="str">
        <f t="shared" si="25"/>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isDefault</v>
      </c>
      <c r="V222" s="4" t="str">
        <f>IF(LEN(Table2[[#This Row],[!Description]]) &gt; 0, Table2[[#This Row],[!Description]], "rg:None")</f>
        <v>True of the value within the lookup list context should be the default for the lookup instance.</v>
      </c>
      <c r="W222" s="4" t="str">
        <f>IF(LEN(Table2[[#This Row],[!FK]])&gt;0,Table2[[#This Row],[!FK]],"rg:None")</f>
        <v>rg:None</v>
      </c>
      <c r="X222" s="14" t="str">
        <f>IF(LEN(concatif2(A:A,Table2[[#This Row],[!Table]],G:G,"Y",D:D,",")) &gt; 0,"rg:[ { 'req' : '"&amp;concatif2(A:A,Table2[[#This Row],[!Table]],G:G,"Y",D:D,"' }, { 'req': '")&amp;"'} ]","rg:[]")</f>
        <v>rg:[ { 'req' : 'id' }, { 'req': 'contextName' }, { 'req': 'isDefault' }, { 'req': 'codeName' }, { 'req': 'value'} ]</v>
      </c>
      <c r="Y222" s="4" t="str">
        <f>IF(LEN(Table2[[#This Row],[!Unique]])&gt;0,IF(Table2[[#This Row],[!Type]] = "id", "rg:None","rg:True"),"rg:None")</f>
        <v>rg:None</v>
      </c>
    </row>
    <row r="223" spans="1:25" x14ac:dyDescent="0.35">
      <c r="A223" s="150" t="s">
        <v>580</v>
      </c>
      <c r="B223" s="145" t="s">
        <v>13</v>
      </c>
      <c r="C223" s="72"/>
      <c r="D223" s="145" t="s">
        <v>574</v>
      </c>
      <c r="E223" s="146" t="s">
        <v>575</v>
      </c>
      <c r="F223" s="12"/>
      <c r="G223" s="18"/>
      <c r="H223" s="18"/>
      <c r="I223" s="4" t="str">
        <f t="shared" si="25"/>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integer</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displaySortOrder</v>
      </c>
      <c r="V223" s="4" t="str">
        <f>IF(LEN(Table2[[#This Row],[!Description]]) &gt; 0, Table2[[#This Row],[!Description]], "rg:None")</f>
        <v>The sort order for list of values within a list context.</v>
      </c>
      <c r="W223" s="4" t="str">
        <f>IF(LEN(Table2[[#This Row],[!FK]])&gt;0,Table2[[#This Row],[!FK]],"rg:None")</f>
        <v>rg:None</v>
      </c>
      <c r="X223" s="14" t="str">
        <f>IF(LEN(concatif2(A:A,Table2[[#This Row],[!Table]],G:G,"Y",D:D,",")) &gt; 0,"rg:[ { 'req' : '"&amp;concatif2(A:A,Table2[[#This Row],[!Table]],G:G,"Y",D:D,"' }, { 'req': '")&amp;"'} ]","rg:[]")</f>
        <v>rg:[ { 'req' : 'id' }, { 'req': 'contextName' }, { 'req': 'isDefault' }, { 'req': 'codeName' }, { 'req': 'value'} ]</v>
      </c>
      <c r="Y223" s="4" t="str">
        <f>IF(LEN(Table2[[#This Row],[!Unique]])&gt;0,IF(Table2[[#This Row],[!Type]] = "id", "rg:None","rg:True"),"rg:None")</f>
        <v>rg:None</v>
      </c>
    </row>
    <row r="224" spans="1:25" ht="28.8" x14ac:dyDescent="0.35">
      <c r="A224" s="150" t="s">
        <v>580</v>
      </c>
      <c r="B224" s="145" t="s">
        <v>7</v>
      </c>
      <c r="C224" s="72">
        <v>30</v>
      </c>
      <c r="D224" s="145" t="s">
        <v>576</v>
      </c>
      <c r="E224" s="146" t="s">
        <v>578</v>
      </c>
      <c r="F224" s="12"/>
      <c r="G224" s="154" t="s">
        <v>60</v>
      </c>
      <c r="H224" s="18"/>
      <c r="I224" s="4" t="str">
        <f t="shared" si="2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30</v>
      </c>
      <c r="U224" s="4" t="str">
        <f>IF(LEN(Table2[[#This Row],[!Name]]) &gt; 0, Table2[[#This Row],[!Name]], "rg:None")</f>
        <v>codeName</v>
      </c>
      <c r="V224" s="4" t="str">
        <f>IF(LEN(Table2[[#This Row],[!Description]]) &gt; 0, Table2[[#This Row],[!Description]], "rg:None")</f>
        <v>The a shorter lookup name to find the value. Can be used at the option of the application to present on the screen a short version of the lookup list value.</v>
      </c>
      <c r="W224" s="4" t="str">
        <f>IF(LEN(Table2[[#This Row],[!FK]])&gt;0,Table2[[#This Row],[!FK]],"rg:None")</f>
        <v>rg:None</v>
      </c>
      <c r="X224" s="14" t="str">
        <f>IF(LEN(concatif2(A:A,Table2[[#This Row],[!Table]],G:G,"Y",D:D,",")) &gt; 0,"rg:[ { 'req' : '"&amp;concatif2(A:A,Table2[[#This Row],[!Table]],G:G,"Y",D:D,"' }, { 'req': '")&amp;"'} ]","rg:[]")</f>
        <v>rg:[ { 'req' : 'id' }, { 'req': 'contextName' }, { 'req': 'isDefault' }, { 'req': 'codeName' }, { 'req': 'value'} ]</v>
      </c>
      <c r="Y224" s="4" t="str">
        <f>IF(LEN(Table2[[#This Row],[!Unique]])&gt;0,IF(Table2[[#This Row],[!Type]] = "id", "rg:None","rg:True"),"rg:None")</f>
        <v>rg:None</v>
      </c>
    </row>
    <row r="225" spans="1:25" x14ac:dyDescent="0.35">
      <c r="A225" s="150" t="s">
        <v>580</v>
      </c>
      <c r="B225" s="145" t="s">
        <v>7</v>
      </c>
      <c r="C225" s="72">
        <v>100</v>
      </c>
      <c r="D225" s="145" t="s">
        <v>24</v>
      </c>
      <c r="E225" s="146" t="s">
        <v>577</v>
      </c>
      <c r="F225" s="12"/>
      <c r="G225" s="154" t="s">
        <v>60</v>
      </c>
      <c r="H225" s="18"/>
      <c r="I225" s="4" t="str">
        <f t="shared" si="2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value</v>
      </c>
      <c r="V225" s="4" t="str">
        <f>IF(LEN(Table2[[#This Row],[!Description]]) &gt; 0, Table2[[#This Row],[!Description]], "rg:None")</f>
        <v>The fully spelled out value of the lookup entry.</v>
      </c>
      <c r="W225" s="4" t="str">
        <f>IF(LEN(Table2[[#This Row],[!FK]])&gt;0,Table2[[#This Row],[!FK]],"rg:None")</f>
        <v>rg:None</v>
      </c>
      <c r="X225" s="14" t="str">
        <f>IF(LEN(concatif2(A:A,Table2[[#This Row],[!Table]],G:G,"Y",D:D,",")) &gt; 0,"rg:[ { 'req' : '"&amp;concatif2(A:A,Table2[[#This Row],[!Table]],G:G,"Y",D:D,"' }, { 'req': '")&amp;"'} ]","rg:[]")</f>
        <v>rg:[ { 'req' : 'id' }, { 'req': 'contextName' }, { 'req': 'isDefault' }, { 'req': 'codeName' }, { 'req': 'value'} ]</v>
      </c>
      <c r="Y225" s="4" t="str">
        <f>IF(LEN(Table2[[#This Row],[!Unique]])&gt;0,IF(Table2[[#This Row],[!Type]] = "id", "rg:None","rg:True"),"rg:None")</f>
        <v>rg:None</v>
      </c>
    </row>
    <row r="226" spans="1:25" ht="28.8" x14ac:dyDescent="0.35">
      <c r="A226" s="81" t="s">
        <v>170</v>
      </c>
      <c r="B226" s="5" t="s">
        <v>4</v>
      </c>
      <c r="D226" s="81" t="s">
        <v>170</v>
      </c>
      <c r="E226" s="76" t="s">
        <v>362</v>
      </c>
      <c r="F226" s="5" t="s">
        <v>5</v>
      </c>
      <c r="G226" s="4"/>
      <c r="H226" s="4"/>
      <c r="I226" s="5" t="str">
        <f t="shared" ref="I226:I241" si="26">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Contact</v>
      </c>
      <c r="V226" s="4" t="str">
        <f>IF(LEN(Table2[[#This Row],[!Description]]) &gt; 0, Table2[[#This Row],[!Description]], "rg:None")</f>
        <v>A person and their related contact information linked to one or more entities in the system. For examples, there are contacts for Owners, Projects.</v>
      </c>
      <c r="W226" s="4" t="str">
        <f>IF(LEN(Table2[[#This Row],[!FK]])&gt;0,Table2[[#This Row],[!FK]],"rg:None")</f>
        <v>rg:None</v>
      </c>
      <c r="X226" s="14" t="str">
        <f>IF(LEN(concatif2(A:A,Table2[[#This Row],[!Table]],G:G,"Y",D:D,",")) &gt; 0,"rg:[ { 'req' : '"&amp;concatif2(A:A,Table2[[#This Row],[!Table]],G:G,"Y",D:D,"' }, { 'req': '")&amp;"'} ]","rg:[]")</f>
        <v>rg:[ { 'req' : 'id'} ]</v>
      </c>
      <c r="Y226" s="4" t="str">
        <f>IF(LEN(Table2[[#This Row],[!Unique]])&gt;0,IF(Table2[[#This Row],[!Type]] = "id", "rg:None","rg:True"),"rg:None")</f>
        <v>rg:None</v>
      </c>
    </row>
    <row r="227" spans="1:25" x14ac:dyDescent="0.3">
      <c r="A227" s="117" t="s">
        <v>170</v>
      </c>
      <c r="B227" s="3" t="s">
        <v>6</v>
      </c>
      <c r="C227" s="3"/>
      <c r="D227" s="3" t="s">
        <v>6</v>
      </c>
      <c r="E227" s="118" t="s">
        <v>304</v>
      </c>
      <c r="F227" s="3" t="s">
        <v>5</v>
      </c>
      <c r="G227" s="4" t="s">
        <v>60</v>
      </c>
      <c r="H227" s="119" t="s">
        <v>60</v>
      </c>
      <c r="I227" s="5" t="str">
        <f t="shared" si="26"/>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Contact</v>
      </c>
      <c r="W227" s="4" t="str">
        <f>IF(LEN(Table2[[#This Row],[!FK]])&gt;0,Table2[[#This Row],[!FK]],"rg:None")</f>
        <v>rg:None</v>
      </c>
      <c r="X227" s="14" t="str">
        <f>IF(LEN(concatif2(A:A,Table2[[#This Row],[!Table]],G:G,"Y",D:D,",")) &gt; 0,"rg:[ { 'req' : '"&amp;concatif2(A:A,Table2[[#This Row],[!Table]],G:G,"Y",D:D,"' }, { 'req': '")&amp;"'} ]","rg:[]")</f>
        <v>rg:[ { 'req' : 'id'} ]</v>
      </c>
      <c r="Y227" s="4" t="str">
        <f>IF(LEN(Table2[[#This Row],[!Unique]])&gt;0,IF(Table2[[#This Row],[!Type]] = "id", "rg:None","rg:True"),"rg:None")</f>
        <v>rg:None</v>
      </c>
    </row>
    <row r="228" spans="1:25" x14ac:dyDescent="0.3">
      <c r="A228" s="117" t="s">
        <v>170</v>
      </c>
      <c r="B228" s="3" t="s">
        <v>7</v>
      </c>
      <c r="C228" s="3">
        <v>50</v>
      </c>
      <c r="D228" s="3" t="s">
        <v>16</v>
      </c>
      <c r="E228" s="118" t="s">
        <v>160</v>
      </c>
      <c r="F228" s="3" t="s">
        <v>5</v>
      </c>
      <c r="G228" s="119"/>
      <c r="H228" s="4"/>
      <c r="I228" s="5" t="str">
        <f t="shared" si="26"/>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givenName</v>
      </c>
      <c r="V228" s="4" t="str">
        <f>IF(LEN(Table2[[#This Row],[!Description]]) &gt; 0, Table2[[#This Row],[!Description]], "rg:None")</f>
        <v>The given name of the contact.</v>
      </c>
      <c r="W228" s="4" t="str">
        <f>IF(LEN(Table2[[#This Row],[!FK]])&gt;0,Table2[[#This Row],[!FK]],"rg:None")</f>
        <v>rg:None</v>
      </c>
      <c r="X228" s="14" t="str">
        <f>IF(LEN(concatif2(A:A,Table2[[#This Row],[!Table]],G:G,"Y",D:D,",")) &gt; 0,"rg:[ { 'req' : '"&amp;concatif2(A:A,Table2[[#This Row],[!Table]],G:G,"Y",D:D,"' }, { 'req': '")&amp;"'} ]","rg:[]")</f>
        <v>rg:[ { 'req' : 'id'} ]</v>
      </c>
      <c r="Y228" s="4" t="str">
        <f>IF(LEN(Table2[[#This Row],[!Unique]])&gt;0,IF(Table2[[#This Row],[!Type]] = "id", "rg:None","rg:True"),"rg:None")</f>
        <v>rg:None</v>
      </c>
    </row>
    <row r="229" spans="1:25" x14ac:dyDescent="0.3">
      <c r="A229" s="117" t="s">
        <v>170</v>
      </c>
      <c r="B229" s="3" t="s">
        <v>7</v>
      </c>
      <c r="C229" s="3">
        <v>50</v>
      </c>
      <c r="D229" s="3" t="s">
        <v>17</v>
      </c>
      <c r="E229" s="118" t="s">
        <v>161</v>
      </c>
      <c r="F229" s="3" t="s">
        <v>5</v>
      </c>
      <c r="G229" s="119"/>
      <c r="H229" s="4"/>
      <c r="I229" s="5" t="str">
        <f t="shared" si="26"/>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surname</v>
      </c>
      <c r="V229" s="4" t="str">
        <f>IF(LEN(Table2[[#This Row],[!Description]]) &gt; 0, Table2[[#This Row],[!Description]], "rg:None")</f>
        <v>The surname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Row],[!Unique]])&gt;0,IF(Table2[[#This Row],[!Type]] = "id", "rg:None","rg:True"),"rg:None")</f>
        <v>rg:None</v>
      </c>
    </row>
    <row r="230" spans="1:25" x14ac:dyDescent="0.3">
      <c r="A230" s="120" t="s">
        <v>170</v>
      </c>
      <c r="B230" s="120" t="s">
        <v>7</v>
      </c>
      <c r="C230" s="3">
        <v>150</v>
      </c>
      <c r="D230" s="120" t="s">
        <v>393</v>
      </c>
      <c r="E230" s="120" t="s">
        <v>507</v>
      </c>
      <c r="F230" s="6"/>
      <c r="G230" s="18"/>
      <c r="H230" s="18"/>
      <c r="I230" s="5" t="str">
        <f t="shared" si="2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150</v>
      </c>
      <c r="U230" s="4" t="str">
        <f>IF(LEN(Table2[[#This Row],[!Name]]) &gt; 0, Table2[[#This Row],[!Name]], "rg:None")</f>
        <v>organizationName</v>
      </c>
      <c r="V230" s="4" t="str">
        <f>IF(LEN(Table2[[#This Row],[!Description]]) &gt; 0, Table2[[#This Row],[!Description]], "rg:None")</f>
        <v>The organization 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Row],[!Unique]])&gt;0,IF(Table2[[#This Row],[!Type]] = "id", "rg:None","rg:True"),"rg:None")</f>
        <v>rg:None</v>
      </c>
    </row>
    <row r="231" spans="1:25" x14ac:dyDescent="0.3">
      <c r="A231" s="117" t="s">
        <v>170</v>
      </c>
      <c r="B231" s="3" t="s">
        <v>7</v>
      </c>
      <c r="C231" s="3">
        <v>100</v>
      </c>
      <c r="D231" s="3" t="s">
        <v>18</v>
      </c>
      <c r="E231" s="121" t="s">
        <v>305</v>
      </c>
      <c r="F231" s="3" t="s">
        <v>5</v>
      </c>
      <c r="G231" s="119"/>
      <c r="H231" s="4"/>
      <c r="I231" s="5" t="str">
        <f t="shared" si="2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role</v>
      </c>
      <c r="V231" s="4" t="str">
        <f>IF(LEN(Table2[[#This Row],[!Description]]) &gt; 0, Table2[[#This Row],[!Description]], "rg:None")</f>
        <v>The role of the contact. UI controlled as to whether it is free form or selected from an enumerated list - for initial implementation, the field is freeform.</v>
      </c>
      <c r="W231" s="4" t="str">
        <f>IF(LEN(Table2[[#This Row],[!FK]])&gt;0,Table2[[#This Row],[!FK]],"rg:None")</f>
        <v>rg:None</v>
      </c>
      <c r="X231" s="14" t="str">
        <f>IF(LEN(concatif2(A:A,Table2[[#This Row],[!Table]],G:G,"Y",D:D,",")) &gt; 0,"rg:[ { 'req' : '"&amp;concatif2(A:A,Table2[[#This Row],[!Table]],G:G,"Y",D:D,"' }, { 'req': '")&amp;"'} ]","rg:[]")</f>
        <v>rg:[ { 'req' : 'id'} ]</v>
      </c>
      <c r="Y231" s="4" t="str">
        <f>IF(LEN(Table2[[#This Row],[!Unique]])&gt;0,IF(Table2[[#This Row],[!Type]] = "id", "rg:None","rg:True"),"rg:None")</f>
        <v>rg:None</v>
      </c>
    </row>
    <row r="232" spans="1:25" x14ac:dyDescent="0.3">
      <c r="A232" s="117" t="s">
        <v>170</v>
      </c>
      <c r="B232" s="3" t="s">
        <v>7</v>
      </c>
      <c r="C232" s="3">
        <v>150</v>
      </c>
      <c r="D232" s="3" t="s">
        <v>162</v>
      </c>
      <c r="E232" s="121" t="s">
        <v>306</v>
      </c>
      <c r="F232" s="3" t="s">
        <v>5</v>
      </c>
      <c r="G232" s="4"/>
      <c r="H232" s="4"/>
      <c r="I232" s="5" t="str">
        <f t="shared" si="2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150</v>
      </c>
      <c r="U232" s="4" t="str">
        <f>IF(LEN(Table2[[#This Row],[!Name]]) &gt; 0, Table2[[#This Row],[!Name]], "rg:None")</f>
        <v>notes</v>
      </c>
      <c r="V232" s="4" t="str">
        <f>IF(LEN(Table2[[#This Row],[!Description]]) &gt; 0, Table2[[#This Row],[!Description]], "rg:None")</f>
        <v>A note about the contact maintained by the users.</v>
      </c>
      <c r="W232" s="4" t="str">
        <f>IF(LEN(Table2[[#This Row],[!FK]])&gt;0,Table2[[#This Row],[!FK]],"rg:None")</f>
        <v>rg:None</v>
      </c>
      <c r="X232" s="14" t="str">
        <f>IF(LEN(concatif2(A:A,Table2[[#This Row],[!Table]],G:G,"Y",D:D,",")) &gt; 0,"rg:[ { 'req' : '"&amp;concatif2(A:A,Table2[[#This Row],[!Table]],G:G,"Y",D:D,"' }, { 'req': '")&amp;"'} ]","rg:[]")</f>
        <v>rg:[ { 'req' : 'id'} ]</v>
      </c>
      <c r="Y232" s="4" t="str">
        <f>IF(LEN(Table2[[#This Row],[!Unique]])&gt;0,IF(Table2[[#This Row],[!Type]] = "id", "rg:None","rg:True"),"rg:None")</f>
        <v>rg:None</v>
      </c>
    </row>
    <row r="233" spans="1:25" x14ac:dyDescent="0.3">
      <c r="A233" s="120" t="s">
        <v>170</v>
      </c>
      <c r="B233" s="120" t="s">
        <v>7</v>
      </c>
      <c r="C233" s="3">
        <v>255</v>
      </c>
      <c r="D233" s="120" t="s">
        <v>508</v>
      </c>
      <c r="E233" s="120" t="s">
        <v>509</v>
      </c>
      <c r="F233" s="6"/>
      <c r="G233" s="18"/>
      <c r="H233" s="18"/>
      <c r="I233" s="5" t="str">
        <f t="shared" si="2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255</v>
      </c>
      <c r="U233" s="4" t="str">
        <f>IF(LEN(Table2[[#This Row],[!Name]]) &gt; 0, Table2[[#This Row],[!Name]], "rg:None")</f>
        <v>emailAddress</v>
      </c>
      <c r="V233" s="4" t="str">
        <f>IF(LEN(Table2[[#This Row],[!Description]]) &gt; 0, Table2[[#This Row],[!Description]], "rg:None")</f>
        <v>The email address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Row],[!Unique]])&gt;0,IF(Table2[[#This Row],[!Type]] = "id", "rg:None","rg:True"),"rg:None")</f>
        <v>rg:None</v>
      </c>
    </row>
    <row r="234" spans="1:25" x14ac:dyDescent="0.3">
      <c r="A234" s="117" t="s">
        <v>170</v>
      </c>
      <c r="B234" s="3" t="s">
        <v>7</v>
      </c>
      <c r="C234" s="3">
        <v>20</v>
      </c>
      <c r="D234" s="117" t="s">
        <v>510</v>
      </c>
      <c r="E234" s="121" t="s">
        <v>511</v>
      </c>
      <c r="F234" s="3" t="s">
        <v>5</v>
      </c>
      <c r="G234" s="119"/>
      <c r="H234" s="4"/>
      <c r="I234" s="5" t="str">
        <f t="shared" si="2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v>
      </c>
      <c r="U234" s="4" t="str">
        <f>IF(LEN(Table2[[#This Row],[!Name]]) &gt; 0, Table2[[#This Row],[!Name]], "rg:None")</f>
        <v>workPhoneNumber</v>
      </c>
      <c r="V234" s="4" t="str">
        <f>IF(LEN(Table2[[#This Row],[!Description]]) &gt; 0, Table2[[#This Row],[!Description]], "rg:None")</f>
        <v>The work phone number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Row],[!Unique]])&gt;0,IF(Table2[[#This Row],[!Type]] = "id", "rg:None","rg:True"),"rg:None")</f>
        <v>rg:None</v>
      </c>
    </row>
    <row r="235" spans="1:25" x14ac:dyDescent="0.3">
      <c r="A235" s="117" t="s">
        <v>170</v>
      </c>
      <c r="B235" s="3" t="s">
        <v>7</v>
      </c>
      <c r="C235" s="3">
        <v>20</v>
      </c>
      <c r="D235" s="117" t="s">
        <v>512</v>
      </c>
      <c r="E235" s="121" t="s">
        <v>513</v>
      </c>
      <c r="F235" s="3" t="s">
        <v>5</v>
      </c>
      <c r="G235" s="119"/>
      <c r="H235" s="4"/>
      <c r="I235" s="5" t="str">
        <f t="shared" si="2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mobilePhoneNumber</v>
      </c>
      <c r="V235" s="4" t="str">
        <f>IF(LEN(Table2[[#This Row],[!Description]]) &gt; 0, Table2[[#This Row],[!Description]], "rg:None")</f>
        <v>The mobile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170</v>
      </c>
      <c r="B236" s="117" t="s">
        <v>7</v>
      </c>
      <c r="C236" s="3">
        <v>20</v>
      </c>
      <c r="D236" s="117" t="s">
        <v>514</v>
      </c>
      <c r="E236" s="121" t="s">
        <v>515</v>
      </c>
      <c r="F236" s="3" t="s">
        <v>5</v>
      </c>
      <c r="G236" s="4"/>
      <c r="H236" s="4"/>
      <c r="I236" s="5" t="str">
        <f t="shared" si="2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faxPhoneNumber</v>
      </c>
      <c r="V236" s="4" t="str">
        <f>IF(LEN(Table2[[#This Row],[!Description]]) &gt; 0, Table2[[#This Row],[!Description]], "rg:None")</f>
        <v>The fax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170</v>
      </c>
      <c r="B237" s="3" t="s">
        <v>7</v>
      </c>
      <c r="C237" s="3">
        <v>80</v>
      </c>
      <c r="D237" s="117" t="s">
        <v>516</v>
      </c>
      <c r="E237" s="121" t="s">
        <v>163</v>
      </c>
      <c r="F237" s="3" t="s">
        <v>5</v>
      </c>
      <c r="G237" s="4"/>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80</v>
      </c>
      <c r="U237" s="4" t="str">
        <f>IF(LEN(Table2[[#This Row],[!Name]]) &gt; 0, Table2[[#This Row],[!Name]], "rg:None")</f>
        <v>address1</v>
      </c>
      <c r="V237" s="4" t="str">
        <f>IF(LEN(Table2[[#This Row],[!Description]]) &gt; 0, Table2[[#This Row],[!Description]], "rg:None")</f>
        <v>Address 1 line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170</v>
      </c>
      <c r="B238" s="3" t="s">
        <v>7</v>
      </c>
      <c r="C238" s="3">
        <v>80</v>
      </c>
      <c r="D238" s="117" t="s">
        <v>517</v>
      </c>
      <c r="E238" s="118" t="s">
        <v>164</v>
      </c>
      <c r="F238" s="3" t="s">
        <v>5</v>
      </c>
      <c r="G238" s="4"/>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address2</v>
      </c>
      <c r="V238" s="4" t="str">
        <f>IF(LEN(Table2[[#This Row],[!Description]]) &gt; 0, Table2[[#This Row],[!Description]], "rg:None")</f>
        <v>Address 2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170</v>
      </c>
      <c r="B239" s="3" t="s">
        <v>7</v>
      </c>
      <c r="C239" s="3">
        <v>100</v>
      </c>
      <c r="D239" s="117" t="s">
        <v>21</v>
      </c>
      <c r="E239" s="118" t="s">
        <v>165</v>
      </c>
      <c r="F239" s="3" t="s">
        <v>5</v>
      </c>
      <c r="G239" s="4"/>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city</v>
      </c>
      <c r="V239" s="4" t="str">
        <f>IF(LEN(Table2[[#This Row],[!Description]]) &gt; 0, Table2[[#This Row],[!Description]], "rg:None")</f>
        <v>The City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170</v>
      </c>
      <c r="B240" s="3" t="s">
        <v>7</v>
      </c>
      <c r="C240" s="3">
        <v>50</v>
      </c>
      <c r="D240" s="117" t="s">
        <v>166</v>
      </c>
      <c r="E240" s="118" t="s">
        <v>167</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50</v>
      </c>
      <c r="U240" s="4" t="str">
        <f>IF(LEN(Table2[[#This Row],[!Name]]) &gt; 0, Table2[[#This Row],[!Name]], "rg:None")</f>
        <v>province</v>
      </c>
      <c r="V240" s="4" t="str">
        <f>IF(LEN(Table2[[#This Row],[!Description]]) &gt; 0, Table2[[#This Row],[!Description]], "rg:None")</f>
        <v>The Province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170</v>
      </c>
      <c r="B241" s="3" t="s">
        <v>7</v>
      </c>
      <c r="C241" s="3">
        <v>15</v>
      </c>
      <c r="D241" s="117" t="s">
        <v>168</v>
      </c>
      <c r="E241" s="118" t="s">
        <v>169</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v>
      </c>
      <c r="U241" s="4" t="str">
        <f>IF(LEN(Table2[[#This Row],[!Name]]) &gt; 0, Table2[[#This Row],[!Name]], "rg:None")</f>
        <v>postalCode</v>
      </c>
      <c r="V241" s="4" t="str">
        <f>IF(LEN(Table2[[#This Row],[!Description]]) &gt; 0, Table2[[#This Row],[!Description]], "rg:None")</f>
        <v>The postal code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ht="28.8" x14ac:dyDescent="0.35">
      <c r="A242" s="81" t="s">
        <v>144</v>
      </c>
      <c r="B242" s="5" t="s">
        <v>4</v>
      </c>
      <c r="D242" s="5" t="s">
        <v>144</v>
      </c>
      <c r="E242" s="76" t="s">
        <v>363</v>
      </c>
      <c r="F242" s="5" t="s">
        <v>5</v>
      </c>
      <c r="G242" s="4"/>
      <c r="H242" s="4"/>
      <c r="I242" s="5" t="str">
        <f t="shared" ref="I242:I254"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Note</v>
      </c>
      <c r="V242" s="4" t="str">
        <f>IF(LEN(Table2[[#This Row],[!Description]]) &gt; 0, Table2[[#This Row],[!Description]], "rg:None")</f>
        <v>Text entered about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'text'} ]</v>
      </c>
      <c r="Y242" s="4" t="str">
        <f>IF(LEN(Table2[[#This Row],[!Unique]])&gt;0,IF(Table2[[#This Row],[!Type]] = "id", "rg:None","rg:True"),"rg:None")</f>
        <v>rg:None</v>
      </c>
    </row>
    <row r="243" spans="1:25" x14ac:dyDescent="0.35">
      <c r="A243" s="81" t="s">
        <v>144</v>
      </c>
      <c r="B243" s="5" t="s">
        <v>6</v>
      </c>
      <c r="D243" s="5" t="s">
        <v>6</v>
      </c>
      <c r="E243" s="54" t="s">
        <v>308</v>
      </c>
      <c r="F243" s="5" t="s">
        <v>5</v>
      </c>
      <c r="G243" s="4" t="s">
        <v>60</v>
      </c>
      <c r="H243" s="155" t="s">
        <v>60</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Note</v>
      </c>
      <c r="W243" s="4" t="str">
        <f>IF(LEN(Table2[[#This Row],[!FK]])&gt;0,Table2[[#This Row],[!FK]],"rg:None")</f>
        <v>rg:None</v>
      </c>
      <c r="X243" s="14" t="str">
        <f>IF(LEN(concatif2(A:A,Table2[[#This Row],[!Table]],G:G,"Y",D:D,",")) &gt; 0,"rg:[ { 'req' : '"&amp;concatif2(A:A,Table2[[#This Row],[!Table]],G:G,"Y",D:D,"' }, { 'req': '")&amp;"'} ]","rg:[]")</f>
        <v>rg:[ { 'req' : 'id' }, { 'req': 'text'} ]</v>
      </c>
      <c r="Y243" s="4" t="str">
        <f>IF(LEN(Table2[[#This Row],[!Unique]])&gt;0,IF(Table2[[#This Row],[!Type]] = "id", "rg:None","rg:True"),"rg:None")</f>
        <v>rg:None</v>
      </c>
    </row>
    <row r="244" spans="1:25" ht="28.8" x14ac:dyDescent="0.35">
      <c r="A244" s="81" t="s">
        <v>144</v>
      </c>
      <c r="B244" s="5" t="s">
        <v>7</v>
      </c>
      <c r="C244" s="5">
        <v>2048</v>
      </c>
      <c r="D244" s="102" t="s">
        <v>343</v>
      </c>
      <c r="E244" s="101" t="s">
        <v>307</v>
      </c>
      <c r="F244" s="5" t="s">
        <v>5</v>
      </c>
      <c r="G244" s="41" t="s">
        <v>60</v>
      </c>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text</v>
      </c>
      <c r="V244" s="4" t="str">
        <f>IF(LEN(Table2[[#This Row],[!Description]]) &gt; 0, Table2[[#This Row],[!Description]], "rg:None")</f>
        <v>Notes entered by users about instance of entities - e.g. School Buses and School Bus Owners</v>
      </c>
      <c r="W244" s="4" t="str">
        <f>IF(LEN(Table2[[#This Row],[!FK]])&gt;0,Table2[[#This Row],[!FK]],"rg:None")</f>
        <v>rg:None</v>
      </c>
      <c r="X244" s="14" t="str">
        <f>IF(LEN(concatif2(A:A,Table2[[#This Row],[!Table]],G:G,"Y",D:D,",")) &gt; 0,"rg:[ { 'req' : '"&amp;concatif2(A:A,Table2[[#This Row],[!Table]],G:G,"Y",D:D,"' }, { 'req': '")&amp;"'} ]","rg:[]")</f>
        <v>rg:[ { 'req' : 'id' }, { 'req': 'text'} ]</v>
      </c>
      <c r="Y244" s="4" t="str">
        <f>IF(LEN(Table2[[#This Row],[!Unique]])&gt;0,IF(Table2[[#This Row],[!Type]] = "id", "rg:None","rg:True"),"rg:None")</f>
        <v>rg:None</v>
      </c>
    </row>
    <row r="245" spans="1:25" ht="28.8" x14ac:dyDescent="0.35">
      <c r="A245" s="81" t="s">
        <v>144</v>
      </c>
      <c r="B245" s="5" t="s">
        <v>9</v>
      </c>
      <c r="D245" s="5" t="s">
        <v>154</v>
      </c>
      <c r="E245" s="104" t="s">
        <v>309</v>
      </c>
      <c r="F245" s="5" t="s">
        <v>5</v>
      </c>
      <c r="G245" s="4"/>
      <c r="H245" s="4"/>
      <c r="I245" s="5" t="str">
        <f t="shared" si="27"/>
        <v>Defs</v>
      </c>
      <c r="J245" s="4" t="str">
        <f>IF(Table2[[#This Row],[!Type]]=J$1, J$1,"rg:None")</f>
        <v>boolean</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isNoLongerRelevant</v>
      </c>
      <c r="V245" s="4" t="str">
        <f>IF(LEN(Table2[[#This Row],[!Description]]) &gt; 0, Table2[[#This Row],[!Description]], "rg:None")</f>
        <v>A user set flag that the note is no longer relevant. Allows the note to be retained for historical reasons,  but identified to other users as no longer applicable.</v>
      </c>
      <c r="W245" s="4" t="str">
        <f>IF(LEN(Table2[[#This Row],[!FK]])&gt;0,Table2[[#This Row],[!FK]],"rg:None")</f>
        <v>rg:None</v>
      </c>
      <c r="X245" s="14" t="str">
        <f>IF(LEN(concatif2(A:A,Table2[[#This Row],[!Table]],G:G,"Y",D:D,",")) &gt; 0,"rg:[ { 'req' : '"&amp;concatif2(A:A,Table2[[#This Row],[!Table]],G:G,"Y",D:D,"' }, { 'req': '")&amp;"'} ]","rg:[]")</f>
        <v>rg:[ { 'req' : 'id' }, { 'req': 'text'} ]</v>
      </c>
      <c r="Y245" s="4" t="str">
        <f>IF(LEN(Table2[[#This Row],[!Unique]])&gt;0,IF(Table2[[#This Row],[!Type]] = "id", "rg:None","rg:True"),"rg:None")</f>
        <v>rg:None</v>
      </c>
    </row>
    <row r="246" spans="1:25" ht="28.8" x14ac:dyDescent="0.35">
      <c r="A246" s="81" t="s">
        <v>156</v>
      </c>
      <c r="B246" s="5" t="s">
        <v>4</v>
      </c>
      <c r="D246" s="81" t="s">
        <v>156</v>
      </c>
      <c r="E246" s="76" t="s">
        <v>364</v>
      </c>
      <c r="F246" s="5" t="s">
        <v>5</v>
      </c>
      <c r="G246" s="4"/>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Attachment</v>
      </c>
      <c r="V246" s="4" t="str">
        <f>IF(LEN(Table2[[#This Row],[!Description]]) &gt; 0, Table2[[#This Row],[!Description]], "rg:None")</f>
        <v>Uploaded documents related to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'fileName' }, { 'req': 'fileContents'} ]</v>
      </c>
      <c r="Y246" s="4" t="str">
        <f>IF(LEN(Table2[[#This Row],[!Unique]])&gt;0,IF(Table2[[#This Row],[!Type]] = "id", "rg:None","rg:True"),"rg:None")</f>
        <v>rg:None</v>
      </c>
    </row>
    <row r="247" spans="1:25" x14ac:dyDescent="0.35">
      <c r="A247" s="81" t="s">
        <v>156</v>
      </c>
      <c r="B247" s="5" t="s">
        <v>6</v>
      </c>
      <c r="D247" s="5" t="s">
        <v>6</v>
      </c>
      <c r="E247" s="54" t="s">
        <v>310</v>
      </c>
      <c r="F247" s="5" t="s">
        <v>5</v>
      </c>
      <c r="G247" s="4" t="s">
        <v>60</v>
      </c>
      <c r="H247" s="41" t="s">
        <v>60</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an Attachment</v>
      </c>
      <c r="W247" s="4" t="str">
        <f>IF(LEN(Table2[[#This Row],[!FK]])&gt;0,Table2[[#This Row],[!FK]],"rg:None")</f>
        <v>rg:None</v>
      </c>
      <c r="X247" s="14" t="str">
        <f>IF(LEN(concatif2(A:A,Table2[[#This Row],[!Table]],G:G,"Y",D:D,",")) &gt; 0,"rg:[ { 'req' : '"&amp;concatif2(A:A,Table2[[#This Row],[!Table]],G:G,"Y",D:D,"' }, { 'req': '")&amp;"'} ]","rg:[]")</f>
        <v>rg:[ { 'req' : 'id' }, { 'req': 'fileName' }, { 'req': 'fileContents'} ]</v>
      </c>
      <c r="Y247" s="4" t="str">
        <f>IF(LEN(Table2[[#This Row],[!Unique]])&gt;0,IF(Table2[[#This Row],[!Type]] = "id", "rg:None","rg:True"),"rg:None")</f>
        <v>rg:None</v>
      </c>
    </row>
    <row r="248" spans="1:25" x14ac:dyDescent="0.35">
      <c r="A248" s="81" t="s">
        <v>156</v>
      </c>
      <c r="B248" s="5" t="s">
        <v>7</v>
      </c>
      <c r="C248" s="5">
        <v>2048</v>
      </c>
      <c r="D248" s="5" t="s">
        <v>518</v>
      </c>
      <c r="E248" s="54" t="s">
        <v>519</v>
      </c>
      <c r="F248" s="5" t="s">
        <v>5</v>
      </c>
      <c r="G248" s="155" t="s">
        <v>60</v>
      </c>
      <c r="H248" s="41"/>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fileName</v>
      </c>
      <c r="V248" s="4" t="str">
        <f>IF(LEN(Table2[[#This Row],[!Description]]) &gt; 0, Table2[[#This Row],[!Description]], "rg:None")</f>
        <v>Filename as passed by the user uploading the file</v>
      </c>
      <c r="W248" s="4" t="str">
        <f>IF(LEN(Table2[[#This Row],[!FK]])&gt;0,Table2[[#This Row],[!FK]],"rg:None")</f>
        <v>rg:None</v>
      </c>
      <c r="X248" s="14" t="str">
        <f>IF(LEN(concatif2(A:A,Table2[[#This Row],[!Table]],G:G,"Y",D:D,",")) &gt; 0,"rg:[ { 'req' : '"&amp;concatif2(A:A,Table2[[#This Row],[!Table]],G:G,"Y",D:D,"' }, { 'req': '")&amp;"'} ]","rg:[]")</f>
        <v>rg:[ { 'req' : 'id' }, { 'req': 'fileName' }, { 'req': 'fileContents'} ]</v>
      </c>
      <c r="Y248" s="4" t="str">
        <f>IF(LEN(Table2[[#This Row],[!Unique]])&gt;0,IF(Table2[[#This Row],[!Type]] = "id", "rg:None","rg:True"),"rg:None")</f>
        <v>rg:None</v>
      </c>
    </row>
    <row r="249" spans="1:25" x14ac:dyDescent="0.35">
      <c r="A249" s="81" t="s">
        <v>156</v>
      </c>
      <c r="B249" s="5" t="s">
        <v>157</v>
      </c>
      <c r="D249" s="5" t="s">
        <v>520</v>
      </c>
      <c r="E249" s="105" t="s">
        <v>521</v>
      </c>
      <c r="F249" s="5" t="s">
        <v>5</v>
      </c>
      <c r="G249" s="155" t="s">
        <v>60</v>
      </c>
      <c r="H249" s="41"/>
      <c r="I249" s="5" t="str">
        <f t="shared" si="27"/>
        <v>Defs</v>
      </c>
      <c r="J249" s="4" t="str">
        <f>IF(Table2[[#This Row],[!Type]]=J$1, J$1,"rg:None")</f>
        <v>rg:None</v>
      </c>
      <c r="K249" s="4" t="str">
        <f>IF(Table2[[#This Row],[!Type]]=K$1, K$1,"rg:None")</f>
        <v>binary</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fileContents</v>
      </c>
      <c r="V249" s="4" t="str">
        <f>IF(LEN(Table2[[#This Row],[!Description]]) &gt; 0, Table2[[#This Row],[!Description]], "rg:None")</f>
        <v>Binary contents of the file</v>
      </c>
      <c r="W249" s="4" t="str">
        <f>IF(LEN(Table2[[#This Row],[!FK]])&gt;0,Table2[[#This Row],[!FK]],"rg:None")</f>
        <v>rg:None</v>
      </c>
      <c r="X249" s="14" t="str">
        <f>IF(LEN(concatif2(A:A,Table2[[#This Row],[!Table]],G:G,"Y",D:D,",")) &gt; 0,"rg:[ { 'req' : '"&amp;concatif2(A:A,Table2[[#This Row],[!Table]],G:G,"Y",D:D,"' }, { 'req': '")&amp;"'} ]","rg:[]")</f>
        <v>rg:[ { 'req' : 'id' }, { 'req': 'fileName' }, { 'req': 'fileContents'} ]</v>
      </c>
      <c r="Y249" s="4" t="str">
        <f>IF(LEN(Table2[[#This Row],[!Unique]])&gt;0,IF(Table2[[#This Row],[!Type]] = "id", "rg:None","rg:True"),"rg:None")</f>
        <v>rg:None</v>
      </c>
    </row>
    <row r="250" spans="1:25" x14ac:dyDescent="0.35">
      <c r="A250" s="81" t="s">
        <v>156</v>
      </c>
      <c r="B250" s="5" t="s">
        <v>7</v>
      </c>
      <c r="C250" s="5">
        <v>2048</v>
      </c>
      <c r="D250" s="5" t="s">
        <v>14</v>
      </c>
      <c r="E250" s="105" t="s">
        <v>155</v>
      </c>
      <c r="F250" s="5" t="s">
        <v>5</v>
      </c>
      <c r="G250" s="4"/>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description</v>
      </c>
      <c r="V250" s="4" t="str">
        <f>IF(LEN(Table2[[#This Row],[!Description]]) &gt; 0, Table2[[#This Row],[!Description]], "rg:None")</f>
        <v>A note about the attachment,  optionally maintained by the user.</v>
      </c>
      <c r="W250" s="4" t="str">
        <f>IF(LEN(Table2[[#This Row],[!FK]])&gt;0,Table2[[#This Row],[!FK]],"rg:None")</f>
        <v>rg:None</v>
      </c>
      <c r="X250" s="14" t="str">
        <f>IF(LEN(concatif2(A:A,Table2[[#This Row],[!Table]],G:G,"Y",D:D,",")) &gt; 0,"rg:[ { 'req' : '"&amp;concatif2(A:A,Table2[[#This Row],[!Table]],G:G,"Y",D:D,"' }, { 'req': '")&amp;"'} ]","rg:[]")</f>
        <v>rg:[ { 'req' : 'id' }, { 'req': 'fileName' }, { 'req': 'fileContents'} ]</v>
      </c>
      <c r="Y250" s="4" t="str">
        <f>IF(LEN(Table2[[#This Row],[!Unique]])&gt;0,IF(Table2[[#This Row],[!Type]] = "id", "rg:None","rg:True"),"rg:None")</f>
        <v>rg:None</v>
      </c>
    </row>
    <row r="251" spans="1:25" x14ac:dyDescent="0.35">
      <c r="A251" s="72" t="s">
        <v>156</v>
      </c>
      <c r="B251" s="72" t="s">
        <v>7</v>
      </c>
      <c r="C251" s="72">
        <v>255</v>
      </c>
      <c r="D251" s="72" t="s">
        <v>20</v>
      </c>
      <c r="E251" s="47" t="s">
        <v>522</v>
      </c>
      <c r="F251" s="12"/>
      <c r="G251" s="18"/>
      <c r="H251" s="18"/>
      <c r="I251" s="4" t="str">
        <f>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255</v>
      </c>
      <c r="U251" s="4" t="str">
        <f>IF(LEN(Table2[[#This Row],[!Name]]) &gt; 0, Table2[[#This Row],[!Name]], "rg:None")</f>
        <v>type</v>
      </c>
      <c r="V251" s="4" t="str">
        <f>IF(LEN(Table2[[#This Row],[!Description]]) &gt; 0, Table2[[#This Row],[!Description]], "rg:None")</f>
        <v>Type of attachment</v>
      </c>
      <c r="W251" s="4" t="str">
        <f>IF(LEN(Table2[[#This Row],[!FK]])&gt;0,Table2[[#This Row],[!FK]],"rg:None")</f>
        <v>rg:None</v>
      </c>
      <c r="X251" s="14" t="str">
        <f>IF(LEN(concatif2(A:A,Table2[[#This Row],[!Table]],G:G,"Y",D:D,",")) &gt; 0,"rg:[ { 'req' : '"&amp;concatif2(A:A,Table2[[#This Row],[!Table]],G:G,"Y",D:D,"' }, { 'req': '")&amp;"'} ]","rg:[]")</f>
        <v>rg:[ { 'req' : 'id' }, { 'req': 'fileName' }, { 'req': 'fileContents'} ]</v>
      </c>
      <c r="Y251" s="4" t="str">
        <f>IF(LEN(Table2[[#This Row],[!Unique]])&gt;0,IF(Table2[[#This Row],[!Type]] = "id", "rg:None","rg:True"),"rg:None")</f>
        <v>rg:None</v>
      </c>
    </row>
    <row r="252" spans="1:25" ht="28.8" x14ac:dyDescent="0.35">
      <c r="A252" s="81" t="s">
        <v>158</v>
      </c>
      <c r="B252" s="5" t="s">
        <v>4</v>
      </c>
      <c r="D252" s="81" t="s">
        <v>158</v>
      </c>
      <c r="E252" s="76" t="s">
        <v>365</v>
      </c>
      <c r="F252" s="5"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History</v>
      </c>
      <c r="V252" s="4" t="str">
        <f>IF(LEN(Table2[[#This Row],[!Description]]) &gt; 0, Table2[[#This Row],[!Description]], "rg:None")</f>
        <v>A log entry created by the system based on a triggering event and related to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'historyText'} ]</v>
      </c>
      <c r="Y252" s="4" t="str">
        <f>IF(LEN(Table2[[#This Row],[!Unique]])&gt;0,IF(Table2[[#This Row],[!Type]] = "id", "rg:None","rg:True"),"rg:None")</f>
        <v>rg:None</v>
      </c>
    </row>
    <row r="253" spans="1:25" x14ac:dyDescent="0.35">
      <c r="A253" s="81" t="s">
        <v>158</v>
      </c>
      <c r="B253" s="5" t="s">
        <v>6</v>
      </c>
      <c r="D253" s="5" t="s">
        <v>6</v>
      </c>
      <c r="E253" s="54" t="s">
        <v>311</v>
      </c>
      <c r="F253" s="5" t="s">
        <v>5</v>
      </c>
      <c r="G253" s="4" t="s">
        <v>60</v>
      </c>
      <c r="H253" s="155" t="s">
        <v>60</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History</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Row],[!Unique]])&gt;0,IF(Table2[[#This Row],[!Type]] = "id", "rg:None","rg:True"),"rg:None")</f>
        <v>rg:None</v>
      </c>
    </row>
    <row r="254" spans="1:25" x14ac:dyDescent="0.35">
      <c r="A254" s="81" t="s">
        <v>158</v>
      </c>
      <c r="B254" s="81" t="s">
        <v>7</v>
      </c>
      <c r="C254" s="5">
        <v>2048</v>
      </c>
      <c r="D254" s="106" t="s">
        <v>205</v>
      </c>
      <c r="E254" s="107" t="s">
        <v>206</v>
      </c>
      <c r="G254" s="41" t="s">
        <v>60</v>
      </c>
      <c r="H254" s="41"/>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historyText</v>
      </c>
      <c r="V254" s="4" t="str">
        <f>IF(LEN(Table2[[#This Row],[!Description]]) &gt; 0, Table2[[#This Row],[!Description]], "rg:None")</f>
        <v>The text of the history entry tracked against the related entity.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Row],[!Unique]])&gt;0,IF(Table2[[#This Row],[!Type]] = "id", "rg:None","rg:True"),"rg:None")</f>
        <v>rg:None</v>
      </c>
    </row>
    <row r="255" spans="1:25" x14ac:dyDescent="0.35">
      <c r="A255" s="81" t="s">
        <v>158</v>
      </c>
      <c r="B255" s="19" t="s">
        <v>12</v>
      </c>
      <c r="C255" s="72"/>
      <c r="D255" s="31" t="s">
        <v>204</v>
      </c>
      <c r="E255" s="51" t="s">
        <v>159</v>
      </c>
      <c r="F255" s="12"/>
      <c r="G255" s="18"/>
      <c r="H255" s="18"/>
      <c r="I255" s="4" t="str">
        <f>IF(LEN(A255) &gt; 0,"Defs","-")</f>
        <v>Defs</v>
      </c>
      <c r="J255" s="14" t="str">
        <f>IF(Table2[[#This Row],[!Type]]=J$1, J$1,"rg:None")</f>
        <v>rg:None</v>
      </c>
      <c r="K255" s="14" t="str">
        <f>IF(Table2[[#This Row],[!Type]]=K$1, K$1,"rg:None")</f>
        <v>rg:None</v>
      </c>
      <c r="L255" s="14" t="str">
        <f>IF(Table2[[#This Row],[!Type]]=L$1, L$1,"rg:None")</f>
        <v>datetime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createdDate</v>
      </c>
      <c r="V255" s="14" t="str">
        <f>IF(LEN(Table2[[#This Row],[!Description]]) &gt; 0, Table2[[#This Row],[!Description]], "rg:None")</f>
        <v>Date the record is created.</v>
      </c>
      <c r="W255" s="14" t="str">
        <f>IF(LEN(Table2[[#This Row],[!FK]])&gt;0,Table2[[#This Row],[!FK]],"rg:None")</f>
        <v>rg:None</v>
      </c>
      <c r="X255" s="14" t="str">
        <f>IF(LEN(concatif2(A:A,Table2[[#This Row],[!Table]],G:G,"Y",D:D,",")) &gt; 0,"rg:[ { 'req' : '"&amp;concatif2(A:A,Table2[[#This Row],[!Table]],G:G,"Y",D:D,"' }, { 'req': '")&amp;"'} ]","rg:[]")</f>
        <v>rg:[ { 'req' : 'id' }, { 'req': 'historyText'} ]</v>
      </c>
      <c r="Y255" s="14" t="str">
        <f>IF(LEN(Table2[[#This Row],[!Unique]])&gt;0,IF(Table2[[#This Row],[!Type]] = "id", "rg:None","rg:True"),"rg:None")</f>
        <v>rg:None</v>
      </c>
    </row>
    <row r="256" spans="1:25" ht="28.8" x14ac:dyDescent="0.35">
      <c r="A256" s="5" t="s">
        <v>22</v>
      </c>
      <c r="B256" s="5" t="s">
        <v>4</v>
      </c>
      <c r="D256" s="5" t="s">
        <v>22</v>
      </c>
      <c r="E256" s="54" t="s">
        <v>61</v>
      </c>
      <c r="F256" s="5" t="s">
        <v>5</v>
      </c>
      <c r="G256" s="4"/>
      <c r="H256" s="4"/>
      <c r="I256" s="5" t="str">
        <f t="shared" ref="I256:I298" si="28">IF(LEN(A256) &gt; 0,"Defs","-")</f>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UserFavourite</v>
      </c>
      <c r="V256" s="8" t="str">
        <f>IF(LEN(Table2[[#This Row],[!Description]]) &gt; 0, Table2[[#This Row],[!Description]], "rg:None")</f>
        <v>User specific settings for a specific location in the UI. The location and saved settings are internally defined by the UI.</v>
      </c>
      <c r="W256" s="8" t="str">
        <f>IF(LEN(Table2[[#This Row],[!FK]])&gt;0,Table2[[#This Row],[!FK]],"rg:None")</f>
        <v>rg:None</v>
      </c>
      <c r="X256" s="8" t="str">
        <f>IF(LEN(concatif2(A:A,Table2[[#This Row],[!Table]],G:G,"Y",D:D,",")) &gt; 0,"rg:[ { 'req' : '"&amp;concatif2(A:A,Table2[[#This Row],[!Table]],G:G,"Y",D:D,"' }, { 'req': '")&amp;"'} ]","rg:[]")</f>
        <v>rg:[ { 'req' : 'id' }, { 'req': 'name' }, { 'req': 'value' }, { 'req': 'type' }, { 'req': 'User'} ]</v>
      </c>
      <c r="Y256" s="8" t="str">
        <f>IF(LEN(Table2[[#This Row],[!Unique]])&gt;0,IF(Table2[[#This Row],[!Type]] = "id", "rg:None","rg:True"),"rg:None")</f>
        <v>rg:None</v>
      </c>
    </row>
    <row r="257" spans="1:25" x14ac:dyDescent="0.35">
      <c r="A257" s="5" t="s">
        <v>22</v>
      </c>
      <c r="B257" s="5" t="s">
        <v>6</v>
      </c>
      <c r="D257" s="5" t="s">
        <v>6</v>
      </c>
      <c r="E257" s="54" t="s">
        <v>312</v>
      </c>
      <c r="F257" s="5" t="s">
        <v>5</v>
      </c>
      <c r="G257" s="4" t="s">
        <v>60</v>
      </c>
      <c r="H257" s="155" t="s">
        <v>60</v>
      </c>
      <c r="I257" s="5" t="str">
        <f t="shared" si="28"/>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UserFavourite</v>
      </c>
      <c r="W257" s="8" t="str">
        <f>IF(LEN(Table2[[#This Row],[!FK]])&gt;0,Table2[[#This Row],[!FK]],"rg:None")</f>
        <v>rg:None</v>
      </c>
      <c r="X257" s="8" t="str">
        <f>IF(LEN(concatif2(A:A,Table2[[#This Row],[!Table]],G:G,"Y",D:D,",")) &gt; 0,"rg:[ { 'req' : '"&amp;concatif2(A:A,Table2[[#This Row],[!Table]],G:G,"Y",D:D,"' }, { 'req': '")&amp;"'} ]","rg:[]")</f>
        <v>rg:[ { 'req' : 'id' }, { 'req': 'name' }, { 'req': 'value' }, { 'req': 'type' }, { 'req': 'User'} ]</v>
      </c>
      <c r="Y257" s="8" t="str">
        <f>IF(LEN(Table2[[#This Row],[!Unique]])&gt;0,IF(Table2[[#This Row],[!Type]] = "id", "rg:None","rg:True"),"rg:None")</f>
        <v>rg:None</v>
      </c>
    </row>
    <row r="258" spans="1:25" ht="28.8" x14ac:dyDescent="0.35">
      <c r="A258" s="5" t="s">
        <v>22</v>
      </c>
      <c r="B258" s="5" t="s">
        <v>7</v>
      </c>
      <c r="C258" s="5">
        <v>150</v>
      </c>
      <c r="D258" s="5" t="s">
        <v>15</v>
      </c>
      <c r="E258" s="54" t="s">
        <v>23</v>
      </c>
      <c r="F258" s="5" t="s">
        <v>5</v>
      </c>
      <c r="G258" s="155" t="s">
        <v>60</v>
      </c>
      <c r="H258" s="4"/>
      <c r="I258" s="5" t="str">
        <f t="shared" si="28"/>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name</v>
      </c>
      <c r="V258" s="8" t="str">
        <f>IF(LEN(Table2[[#This Row],[!Description]]) &gt; 0, Table2[[#This Row],[!Description]], "rg:None")</f>
        <v>The user-defined name for the recorded settings. Allows the user to save different groups of settings and access each one easily when needed.</v>
      </c>
      <c r="W258" s="8" t="str">
        <f>IF(LEN(Table2[[#This Row],[!FK]])&gt;0,Table2[[#This Row],[!FK]],"rg:None")</f>
        <v>rg:None</v>
      </c>
      <c r="X258" s="8" t="str">
        <f>IF(LEN(concatif2(A:A,Table2[[#This Row],[!Table]],G:G,"Y",D:D,",")) &gt; 0,"rg:[ { 'req' : '"&amp;concatif2(A:A,Table2[[#This Row],[!Table]],G:G,"Y",D:D,"' }, { 'req': '")&amp;"'} ]","rg:[]")</f>
        <v>rg:[ { 'req' : 'id' }, { 'req': 'name' }, { 'req': 'value' }, { 'req': 'type' }, { 'req': 'User'} ]</v>
      </c>
      <c r="Y258" s="8" t="str">
        <f>IF(LEN(Table2[[#This Row],[!Unique]])&gt;0,IF(Table2[[#This Row],[!Type]] = "id", "rg:None","rg:True"),"rg:None")</f>
        <v>rg:None</v>
      </c>
    </row>
    <row r="259" spans="1:25" ht="28.8" x14ac:dyDescent="0.35">
      <c r="A259" s="5" t="s">
        <v>22</v>
      </c>
      <c r="B259" s="5" t="s">
        <v>7</v>
      </c>
      <c r="C259" s="5">
        <v>2048</v>
      </c>
      <c r="D259" s="5" t="s">
        <v>24</v>
      </c>
      <c r="E259" s="54" t="s">
        <v>25</v>
      </c>
      <c r="F259" s="5" t="s">
        <v>5</v>
      </c>
      <c r="G259" s="155" t="s">
        <v>60</v>
      </c>
      <c r="H259" s="4"/>
      <c r="I259" s="5" t="str">
        <f t="shared" si="28"/>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2048</v>
      </c>
      <c r="U259" s="8" t="str">
        <f>IF(LEN(Table2[[#This Row],[!Name]]) &gt; 0, Table2[[#This Row],[!Name]], "rg:None")</f>
        <v>value</v>
      </c>
      <c r="V259" s="8" t="str">
        <f>IF(LEN(Table2[[#This Row],[!Description]]) &gt; 0, Table2[[#This Row],[!Description]], "rg:None")</f>
        <v>The settings saved by the user. In general,  a UI defined chunk of json that stores the settings in place when the user created the favourite.</v>
      </c>
      <c r="W259" s="8" t="str">
        <f>IF(LEN(Table2[[#This Row],[!FK]])&gt;0,Table2[[#This Row],[!FK]],"rg:None")</f>
        <v>rg:None</v>
      </c>
      <c r="X259" s="8" t="str">
        <f>IF(LEN(concatif2(A:A,Table2[[#This Row],[!Table]],G:G,"Y",D:D,",")) &gt; 0,"rg:[ { 'req' : '"&amp;concatif2(A:A,Table2[[#This Row],[!Table]],G:G,"Y",D:D,"' }, { 'req': '")&amp;"'} ]","rg:[]")</f>
        <v>rg:[ { 'req' : 'id' }, { 'req': 'name' }, { 'req': 'value' }, { 'req': 'type' }, { 'req': 'User'} ]</v>
      </c>
      <c r="Y259" s="8" t="str">
        <f>IF(LEN(Table2[[#This Row],[!Unique]])&gt;0,IF(Table2[[#This Row],[!Type]] = "id", "rg:None","rg:True"),"rg:None")</f>
        <v>rg:None</v>
      </c>
    </row>
    <row r="260" spans="1:25" ht="57.6" x14ac:dyDescent="0.35">
      <c r="A260" s="5" t="s">
        <v>22</v>
      </c>
      <c r="B260" s="5" t="s">
        <v>9</v>
      </c>
      <c r="D260" s="5" t="s">
        <v>26</v>
      </c>
      <c r="E260" s="54" t="s">
        <v>27</v>
      </c>
      <c r="F260" s="5" t="s">
        <v>5</v>
      </c>
      <c r="G260" s="4"/>
      <c r="H260" s="4"/>
      <c r="I260" s="5" t="str">
        <f t="shared" si="28"/>
        <v>Defs</v>
      </c>
      <c r="J260" s="8" t="str">
        <f>IF(Table2[[#This Row],[!Type]]=J$1, J$1,"rg:None")</f>
        <v>boolean</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isDefault</v>
      </c>
      <c r="V26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0" s="8" t="str">
        <f>IF(LEN(Table2[[#This Row],[!FK]])&gt;0,Table2[[#This Row],[!FK]],"rg:None")</f>
        <v>rg:None</v>
      </c>
      <c r="X260" s="8" t="str">
        <f>IF(LEN(concatif2(A:A,Table2[[#This Row],[!Table]],G:G,"Y",D:D,",")) &gt; 0,"rg:[ { 'req' : '"&amp;concatif2(A:A,Table2[[#This Row],[!Table]],G:G,"Y",D:D,"' }, { 'req': '")&amp;"'} ]","rg:[]")</f>
        <v>rg:[ { 'req' : 'id' }, { 'req': 'name' }, { 'req': 'value' }, { 'req': 'type' }, { 'req': 'User'} ]</v>
      </c>
      <c r="Y260" s="8" t="str">
        <f>IF(LEN(Table2[[#This Row],[!Unique]])&gt;0,IF(Table2[[#This Row],[!Type]] = "id", "rg:None","rg:True"),"rg:None")</f>
        <v>rg:None</v>
      </c>
    </row>
    <row r="261" spans="1:25" x14ac:dyDescent="0.35">
      <c r="A261" s="5" t="s">
        <v>22</v>
      </c>
      <c r="B261" s="108" t="s">
        <v>7</v>
      </c>
      <c r="C261" s="5">
        <v>150</v>
      </c>
      <c r="D261" s="108" t="s">
        <v>20</v>
      </c>
      <c r="E261" s="52" t="s">
        <v>210</v>
      </c>
      <c r="G261" s="155" t="s">
        <v>60</v>
      </c>
      <c r="H261" s="4"/>
      <c r="I261" s="5" t="str">
        <f t="shared" si="28"/>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type</v>
      </c>
      <c r="V261" s="8" t="str">
        <f>IF(LEN(Table2[[#This Row],[!Description]]) &gt; 0, Table2[[#This Row],[!Description]], "rg:None")</f>
        <v>The type of Favourite</v>
      </c>
      <c r="W261" s="8" t="str">
        <f>IF(LEN(Table2[[#This Row],[!FK]])&gt;0,Table2[[#This Row],[!FK]],"rg:None")</f>
        <v>rg:None</v>
      </c>
      <c r="X261" s="8" t="str">
        <f>IF(LEN(concatif2(A:A,Table2[[#This Row],[!Table]],G:G,"Y",D:D,",")) &gt; 0,"rg:[ { 'req' : '"&amp;concatif2(A:A,Table2[[#This Row],[!Table]],G:G,"Y",D:D,"' }, { 'req': '")&amp;"'} ]","rg:[]")</f>
        <v>rg:[ { 'req' : 'id' }, { 'req': 'name' }, { 'req': 'value' }, { 'req': 'type' }, { 'req': 'User'} ]</v>
      </c>
      <c r="Y261" s="8" t="str">
        <f>IF(LEN(Table2[[#This Row],[!Unique]])&gt;0,IF(Table2[[#This Row],[!Type]] = "id", "rg:None","rg:True"),"rg:None")</f>
        <v>rg:None</v>
      </c>
    </row>
    <row r="262" spans="1:25" x14ac:dyDescent="0.35">
      <c r="A262" s="38" t="s">
        <v>22</v>
      </c>
      <c r="B262" s="38" t="s">
        <v>8</v>
      </c>
      <c r="C262" s="72"/>
      <c r="D262" s="38" t="s">
        <v>0</v>
      </c>
      <c r="E262" s="53" t="s">
        <v>211</v>
      </c>
      <c r="F262" s="39" t="s">
        <v>0</v>
      </c>
      <c r="G262" s="154" t="s">
        <v>60</v>
      </c>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rg:None</v>
      </c>
      <c r="O262" s="14" t="str">
        <f>IF(Table2[[#This Row],[!Type]]=O$1, O$1,"rg:None")</f>
        <v>rg:None</v>
      </c>
      <c r="P262" s="4" t="str">
        <f>IF(Table2[[#This Row],[!Type]]=P$1, P$1,"rg:None")</f>
        <v>rg:None</v>
      </c>
      <c r="Q262" s="4" t="str">
        <f>IF(Table2[[#This Row],[!Type]]=Q$1, Q$1,"rg:None")</f>
        <v>ref</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User</v>
      </c>
      <c r="V262" s="14" t="str">
        <f>IF(LEN(Table2[[#This Row],[!Description]]) &gt; 0, Table2[[#This Row],[!Description]], "rg:None")</f>
        <v>The User who has this Favourite</v>
      </c>
      <c r="W262" s="14" t="str">
        <f>IF(LEN(Table2[[#This Row],[!FK]])&gt;0,Table2[[#This Row],[!FK]],"rg:None")</f>
        <v>User</v>
      </c>
      <c r="X262" s="14" t="str">
        <f>IF(LEN(concatif2(A:A,Table2[[#This Row],[!Table]],G:G,"Y",D:D,",")) &gt; 0,"rg:[ { 'req' : '"&amp;concatif2(A:A,Table2[[#This Row],[!Table]],G:G,"Y",D:D,"' }, { 'req': '")&amp;"'} ]","rg:[]")</f>
        <v>rg:[ { 'req' : 'id' }, { 'req': 'name' }, { 'req': 'value' }, { 'req': 'type' }, { 'req': 'User'} ]</v>
      </c>
      <c r="Y262" s="14" t="str">
        <f>IF(LEN(Table2[[#This Row],[!Unique]])&gt;0,IF(Table2[[#This Row],[!Type]] = "id", "rg:None","rg:True"),"rg:None")</f>
        <v>rg:None</v>
      </c>
    </row>
    <row r="263" spans="1:25" x14ac:dyDescent="0.35">
      <c r="A263" s="5" t="s">
        <v>28</v>
      </c>
      <c r="B263" s="5" t="s">
        <v>4</v>
      </c>
      <c r="D263" s="5" t="s">
        <v>28</v>
      </c>
      <c r="E263" s="76" t="s">
        <v>397</v>
      </c>
      <c r="F263" s="5" t="s">
        <v>5</v>
      </c>
      <c r="G263" s="4"/>
      <c r="H263" s="4"/>
      <c r="I263" s="5" t="str">
        <f t="shared" si="28"/>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Region</v>
      </c>
      <c r="V263" s="8" t="str">
        <f>IF(LEN(Table2[[#This Row],[!Description]]) &gt; 0, Table2[[#This Row],[!Description]], "rg:None")</f>
        <v>The Ministry of Transportion and Infrastructure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Row],[!Unique]])&gt;0,IF(Table2[[#This Row],[!Type]] = "id", "rg:None","rg:True"),"rg:None")</f>
        <v>rg:None</v>
      </c>
    </row>
    <row r="264" spans="1:25" x14ac:dyDescent="0.35">
      <c r="A264" s="5" t="s">
        <v>28</v>
      </c>
      <c r="B264" s="5" t="s">
        <v>6</v>
      </c>
      <c r="D264" s="5" t="s">
        <v>6</v>
      </c>
      <c r="E264" s="54" t="s">
        <v>313</v>
      </c>
      <c r="F264" s="5" t="s">
        <v>5</v>
      </c>
      <c r="G264" s="4" t="s">
        <v>60</v>
      </c>
      <c r="H264" s="155" t="s">
        <v>60</v>
      </c>
      <c r="I264" s="5" t="str">
        <f t="shared" si="28"/>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Row],[!Unique]])&gt;0,IF(Table2[[#This Row],[!Type]] = "id", "rg:None","rg:True"),"rg:None")</f>
        <v>rg:None</v>
      </c>
    </row>
    <row r="265" spans="1:25" x14ac:dyDescent="0.35">
      <c r="A265" s="5" t="s">
        <v>28</v>
      </c>
      <c r="B265" s="5" t="s">
        <v>13</v>
      </c>
      <c r="D265" s="5" t="s">
        <v>29</v>
      </c>
      <c r="E265" s="76" t="s">
        <v>402</v>
      </c>
      <c r="F265" s="5" t="s">
        <v>5</v>
      </c>
      <c r="G265" s="41" t="s">
        <v>60</v>
      </c>
      <c r="H265" s="41" t="s">
        <v>60</v>
      </c>
      <c r="I265" s="5" t="str">
        <f t="shared" si="28"/>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ministryRegionID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Row],[!Unique]])&gt;0,IF(Table2[[#This Row],[!Type]] = "id", "rg:None","rg:True"),"rg:None")</f>
        <v>rg:True</v>
      </c>
    </row>
    <row r="266" spans="1:25" x14ac:dyDescent="0.35">
      <c r="A266" s="61" t="s">
        <v>28</v>
      </c>
      <c r="B266" s="61" t="s">
        <v>13</v>
      </c>
      <c r="C266" s="72"/>
      <c r="D266" s="61" t="s">
        <v>398</v>
      </c>
      <c r="E266" s="60" t="s">
        <v>399</v>
      </c>
      <c r="F266" s="12"/>
      <c r="G266" s="18"/>
      <c r="H266" s="18"/>
      <c r="I266" s="4" t="str">
        <f>IF(LEN(A266) &gt; 0,"Defs","-")</f>
        <v>Defs</v>
      </c>
      <c r="J266" s="14" t="str">
        <f>IF(Table2[[#This Row],[!Type]]=J$1, J$1,"rg:None")</f>
        <v>rg:None</v>
      </c>
      <c r="K266" s="14" t="str">
        <f>IF(Table2[[#This Row],[!Type]]=K$1, K$1,"rg:None")</f>
        <v>rg:None</v>
      </c>
      <c r="L266" s="14" t="str">
        <f>IF(Table2[[#This Row],[!Type]]=L$1, L$1,"rg:None")</f>
        <v>rg:None</v>
      </c>
      <c r="M266" s="14" t="str">
        <f>IF(Table2[[#This Row],[!Type]]=M$1, M$1,"rg:None")</f>
        <v>rg:None</v>
      </c>
      <c r="N266" s="14" t="str">
        <f>IF(Table2[[#This Row],[!Type]]=N$1, N$1,"rg:None")</f>
        <v>integer</v>
      </c>
      <c r="O266" s="1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14" t="str">
        <f>IF(LEN(Table2[[#This Row],[!Length]]) &gt; 0, Table2[[#This Row],[!Length]], "rg:None")</f>
        <v>rg:None</v>
      </c>
      <c r="U266" s="14" t="str">
        <f>IF(LEN(Table2[[#This Row],[!Name]]) &gt; 0, Table2[[#This Row],[!Name]], "rg:None")</f>
        <v>regionNumber</v>
      </c>
      <c r="V266" s="14" t="str">
        <f>IF(LEN(Table2[[#This Row],[!Description]]) &gt; 0, Table2[[#This Row],[!Description]], "rg:None")</f>
        <v>A code that uniquely defines a Region.</v>
      </c>
      <c r="W266" s="14" t="str">
        <f>IF(LEN(Table2[[#This Row],[!FK]])&gt;0,Table2[[#This Row],[!FK]],"rg:None")</f>
        <v>rg:None</v>
      </c>
      <c r="X266" s="14" t="str">
        <f>IF(LEN(concatif2(A:A,Table2[[#This Row],[!Table]],G:G,"Y",D:D,",")) &gt; 0,"rg:[ { 'req' : '"&amp;concatif2(A:A,Table2[[#This Row],[!Table]],G:G,"Y",D:D,"' }, { 'req': '")&amp;"'} ]","rg:[]")</f>
        <v>rg:[ { 'req' : 'id' }, { 'req': 'ministryRegionID' }, { 'req': 'name' }, { 'req': 'startDate'} ]</v>
      </c>
      <c r="Y266" s="14" t="str">
        <f>IF(LEN(Table2[[#This Row],[!Unique]])&gt;0,IF(Table2[[#This Row],[!Type]] = "id", "rg:None","rg:True"),"rg:None")</f>
        <v>rg:None</v>
      </c>
    </row>
    <row r="267" spans="1:25" x14ac:dyDescent="0.35">
      <c r="A267" s="5" t="s">
        <v>28</v>
      </c>
      <c r="B267" s="5" t="s">
        <v>7</v>
      </c>
      <c r="C267" s="5">
        <v>150</v>
      </c>
      <c r="D267" s="5" t="s">
        <v>15</v>
      </c>
      <c r="E267" s="76" t="s">
        <v>400</v>
      </c>
      <c r="F267" s="5" t="s">
        <v>5</v>
      </c>
      <c r="G267" s="41" t="s">
        <v>60</v>
      </c>
      <c r="H267" s="41"/>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Minsitry Region.</v>
      </c>
      <c r="W267" s="8" t="str">
        <f>IF(LEN(Table2[[#This Row],[!FK]])&gt;0,Table2[[#This Row],[!FK]],"rg:None")</f>
        <v>rg:None</v>
      </c>
      <c r="X267" s="8" t="str">
        <f>IF(LEN(concatif2(A:A,Table2[[#This Row],[!Table]],G:G,"Y",D:D,",")) &gt; 0,"rg:[ { 'req' : '"&amp;concatif2(A:A,Table2[[#This Row],[!Table]],G:G,"Y",D:D,"' }, { 'req': '")&amp;"'} ]","rg:[]")</f>
        <v>rg:[ { 'req' : 'id' }, { 'req': 'ministryRegionID' }, { 'req': 'name' }, { 'req': 'startDate'} ]</v>
      </c>
      <c r="Y267" s="8" t="str">
        <f>IF(LEN(Table2[[#This Row],[!Unique]])&gt;0,IF(Table2[[#This Row],[!Type]] = "id", "rg:None","rg:True"),"rg:None")</f>
        <v>rg:None</v>
      </c>
    </row>
    <row r="268" spans="1:25" ht="28.8" x14ac:dyDescent="0.35">
      <c r="A268" s="5" t="s">
        <v>28</v>
      </c>
      <c r="B268" s="5" t="s">
        <v>12</v>
      </c>
      <c r="D268" s="5" t="s">
        <v>30</v>
      </c>
      <c r="E268" s="76" t="s">
        <v>406</v>
      </c>
      <c r="F268" s="5" t="s">
        <v>5</v>
      </c>
      <c r="G268" s="63" t="s">
        <v>60</v>
      </c>
      <c r="H268" s="4"/>
      <c r="I268" s="5" t="str">
        <f t="shared" si="28"/>
        <v>Defs</v>
      </c>
      <c r="J268" s="8" t="str">
        <f>IF(Table2[[#This Row],[!Type]]=J$1, J$1,"rg:None")</f>
        <v>rg:None</v>
      </c>
      <c r="K268" s="8" t="str">
        <f>IF(Table2[[#This Row],[!Type]]=K$1, K$1,"rg:None")</f>
        <v>rg:None</v>
      </c>
      <c r="L268" s="8" t="str">
        <f>IF(Table2[[#This Row],[!Type]]=L$1, L$1,"rg:None")</f>
        <v>datetime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Row],[!Unique]])&gt;0,IF(Table2[[#This Row],[!Type]] = "id", "rg:None","rg:True"),"rg:None")</f>
        <v>rg:None</v>
      </c>
    </row>
    <row r="269" spans="1:25" ht="28.8" x14ac:dyDescent="0.35">
      <c r="A269" s="5" t="s">
        <v>28</v>
      </c>
      <c r="B269" s="5" t="s">
        <v>12</v>
      </c>
      <c r="D269" s="5" t="s">
        <v>31</v>
      </c>
      <c r="E269" s="76" t="s">
        <v>407</v>
      </c>
      <c r="F269" s="5" t="s">
        <v>5</v>
      </c>
      <c r="G269" s="4"/>
      <c r="H269" s="4"/>
      <c r="I269" s="5" t="str">
        <f t="shared" si="28"/>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Row],[!Unique]])&gt;0,IF(Table2[[#This Row],[!Type]] = "id", "rg:None","rg:True"),"rg:None")</f>
        <v>rg:None</v>
      </c>
    </row>
    <row r="270" spans="1:25" x14ac:dyDescent="0.35">
      <c r="A270" s="5" t="s">
        <v>32</v>
      </c>
      <c r="B270" s="5" t="s">
        <v>4</v>
      </c>
      <c r="D270" s="5" t="s">
        <v>32</v>
      </c>
      <c r="E270" s="76" t="s">
        <v>401</v>
      </c>
      <c r="F270" s="5" t="s">
        <v>5</v>
      </c>
      <c r="G270" s="4"/>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District</v>
      </c>
      <c r="V270" s="8" t="str">
        <f>IF(LEN(Table2[[#This Row],[!Description]]) &gt; 0, Table2[[#This Row],[!Description]], "rg:None")</f>
        <v>The Ministry of Transportion and Infrastructure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Row],[!Unique]])&gt;0,IF(Table2[[#This Row],[!Type]] = "id", "rg:None","rg:True"),"rg:None")</f>
        <v>rg:None</v>
      </c>
    </row>
    <row r="271" spans="1:25" x14ac:dyDescent="0.35">
      <c r="A271" s="5" t="s">
        <v>32</v>
      </c>
      <c r="B271" s="5" t="s">
        <v>6</v>
      </c>
      <c r="D271" s="5" t="s">
        <v>6</v>
      </c>
      <c r="E271" s="54" t="s">
        <v>314</v>
      </c>
      <c r="F271" s="5" t="s">
        <v>5</v>
      </c>
      <c r="G271" s="4" t="s">
        <v>60</v>
      </c>
      <c r="H271" s="155" t="s">
        <v>60</v>
      </c>
      <c r="I271" s="5" t="str">
        <f t="shared" si="28"/>
        <v>Defs</v>
      </c>
      <c r="J271" s="8" t="str">
        <f>IF(Table2[[#This Row],[!Type]]=J$1, J$1,"rg:None")</f>
        <v>rg:None</v>
      </c>
      <c r="K271" s="8" t="str">
        <f>IF(Table2[[#This Row],[!Type]]=K$1, K$1,"rg:None")</f>
        <v>rg:None</v>
      </c>
      <c r="L271" s="8" t="str">
        <f>IF(Table2[[#This Row],[!Type]]=L$1, L$1,"rg:None")</f>
        <v>rg:None</v>
      </c>
      <c r="M271" s="8"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Row],[!Unique]])&gt;0,IF(Table2[[#This Row],[!Type]] = "id", "rg:None","rg:True"),"rg:None")</f>
        <v>rg:None</v>
      </c>
    </row>
    <row r="272" spans="1:25" x14ac:dyDescent="0.35">
      <c r="A272" s="5" t="s">
        <v>32</v>
      </c>
      <c r="B272" s="5" t="s">
        <v>13</v>
      </c>
      <c r="D272" s="5" t="s">
        <v>33</v>
      </c>
      <c r="E272" s="76" t="s">
        <v>402</v>
      </c>
      <c r="F272" s="5" t="s">
        <v>5</v>
      </c>
      <c r="G272" s="41" t="s">
        <v>60</v>
      </c>
      <c r="H272" s="41"/>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integer</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ministryDistrictID</v>
      </c>
      <c r="V272" s="8" t="str">
        <f>IF(LEN(Table2[[#This Row],[!Description]]) &gt; 0, Table2[[#This Row],[!Description]], "rg:None")</f>
        <v>A system generated unique identifier. NOT GENERATED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Row],[!Unique]])&gt;0,IF(Table2[[#This Row],[!Type]] = "id", "rg:None","rg:True"),"rg:None")</f>
        <v>rg:None</v>
      </c>
    </row>
    <row r="273" spans="1:25" x14ac:dyDescent="0.35">
      <c r="A273" s="5" t="s">
        <v>32</v>
      </c>
      <c r="B273" s="5" t="s">
        <v>7</v>
      </c>
      <c r="C273" s="5">
        <v>150</v>
      </c>
      <c r="D273" s="5" t="s">
        <v>15</v>
      </c>
      <c r="E273" s="76" t="s">
        <v>403</v>
      </c>
      <c r="F273" s="5" t="s">
        <v>5</v>
      </c>
      <c r="G273" s="41" t="s">
        <v>60</v>
      </c>
      <c r="H273" s="41"/>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150</v>
      </c>
      <c r="U273" s="8" t="str">
        <f>IF(LEN(Table2[[#This Row],[!Name]]) &gt; 0, Table2[[#This Row],[!Name]], "rg:None")</f>
        <v>name</v>
      </c>
      <c r="V273" s="8" t="str">
        <f>IF(LEN(Table2[[#This Row],[!Description]]) &gt; 0, Table2[[#This Row],[!Description]], "rg:None")</f>
        <v>The Name of a Ministry District.</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Row],[!Unique]])&gt;0,IF(Table2[[#This Row],[!Type]] = "id", "rg:None","rg:True"),"rg:None")</f>
        <v>rg:None</v>
      </c>
    </row>
    <row r="274" spans="1:25" x14ac:dyDescent="0.35">
      <c r="A274" s="61" t="s">
        <v>32</v>
      </c>
      <c r="B274" s="61" t="s">
        <v>13</v>
      </c>
      <c r="C274" s="72"/>
      <c r="D274" s="61" t="s">
        <v>404</v>
      </c>
      <c r="E274" s="47" t="s">
        <v>405</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districtNumber</v>
      </c>
      <c r="V274" s="14" t="str">
        <f>IF(LEN(Table2[[#This Row],[!Description]]) &gt; 0, Table2[[#This Row],[!Description]], "rg:None")</f>
        <v>A number that uniquely defines a Ministry District.</v>
      </c>
      <c r="W274" s="14" t="str">
        <f>IF(LEN(Table2[[#This Row],[!FK]])&gt;0,Table2[[#This Row],[!FK]],"rg:None")</f>
        <v>rg:None</v>
      </c>
      <c r="X274" s="14" t="str">
        <f>IF(LEN(concatif2(A:A,Table2[[#This Row],[!Table]],G:G,"Y",D:D,",")) &gt; 0,"rg:[ { 'req' : '"&amp;concatif2(A:A,Table2[[#This Row],[!Table]],G:G,"Y",D:D,"' }, { 'req': '")&amp;"'} ]","rg:[]")</f>
        <v>rg:[ { 'req' : 'id' }, { 'req': 'ministryDistrictID' }, { 'req': 'name' }, { 'req': 'region' }, { 'req': 'startDate'} ]</v>
      </c>
      <c r="Y274" s="14" t="str">
        <f>IF(LEN(Table2[[#This Row],[!Unique]])&gt;0,IF(Table2[[#This Row],[!Type]] = "id", "rg:None","rg:True"),"rg:None")</f>
        <v>rg:None</v>
      </c>
    </row>
    <row r="275" spans="1:25" x14ac:dyDescent="0.35">
      <c r="A275" s="5" t="s">
        <v>32</v>
      </c>
      <c r="B275" s="5" t="s">
        <v>8</v>
      </c>
      <c r="D275" s="5" t="s">
        <v>34</v>
      </c>
      <c r="E275" s="54" t="s">
        <v>35</v>
      </c>
      <c r="F275" s="5" t="s">
        <v>28</v>
      </c>
      <c r="G275" s="63" t="s">
        <v>60</v>
      </c>
      <c r="H275" s="4"/>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region</v>
      </c>
      <c r="V275" s="8" t="str">
        <f>IF(LEN(Table2[[#This Row],[!Description]]) &gt; 0, Table2[[#This Row],[!Description]], "rg:None")</f>
        <v>The region in which the District is found.</v>
      </c>
      <c r="W275" s="8" t="str">
        <f>IF(LEN(Table2[[#This Row],[!FK]])&gt;0,Table2[[#This Row],[!FK]],"rg:None")</f>
        <v>Region</v>
      </c>
      <c r="X275" s="8" t="str">
        <f>IF(LEN(concatif2(A:A,Table2[[#This Row],[!Table]],G:G,"Y",D:D,",")) &gt; 0,"rg:[ { 'req' : '"&amp;concatif2(A:A,Table2[[#This Row],[!Table]],G:G,"Y",D:D,"' }, { 'req': '")&amp;"'} ]","rg:[]")</f>
        <v>rg:[ { 'req' : 'id' }, { 'req': 'ministryDistrictID' }, { 'req': 'name' }, { 'req': 'region' }, { 'req': 'startDate'} ]</v>
      </c>
      <c r="Y275" s="8" t="str">
        <f>IF(LEN(Table2[[#This Row],[!Unique]])&gt;0,IF(Table2[[#This Row],[!Type]] = "id", "rg:None","rg:True"),"rg:None")</f>
        <v>rg:None</v>
      </c>
    </row>
    <row r="276" spans="1:25" ht="28.8" x14ac:dyDescent="0.35">
      <c r="A276" s="5" t="s">
        <v>32</v>
      </c>
      <c r="B276" s="5" t="s">
        <v>12</v>
      </c>
      <c r="D276" s="5" t="s">
        <v>30</v>
      </c>
      <c r="E276" s="76" t="s">
        <v>406</v>
      </c>
      <c r="F276" s="5" t="s">
        <v>5</v>
      </c>
      <c r="G276" s="63" t="s">
        <v>60</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'ministryDistrictID' }, { 'req': 'name' }, { 'req': 'region' }, { 'req': 'startDate'} ]</v>
      </c>
      <c r="Y276" s="8" t="str">
        <f>IF(LEN(Table2[[#This Row],[!Unique]])&gt;0,IF(Table2[[#This Row],[!Type]] = "id", "rg:None","rg:True"),"rg:None")</f>
        <v>rg:None</v>
      </c>
    </row>
    <row r="277" spans="1:25" ht="28.8" x14ac:dyDescent="0.35">
      <c r="A277" s="5" t="s">
        <v>32</v>
      </c>
      <c r="B277" s="5" t="s">
        <v>12</v>
      </c>
      <c r="D277" s="5" t="s">
        <v>31</v>
      </c>
      <c r="E277" s="76" t="s">
        <v>407</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Row],[!Unique]])&gt;0,IF(Table2[[#This Row],[!Type]] = "id", "rg:None","rg:True"),"rg:None")</f>
        <v>rg:None</v>
      </c>
    </row>
    <row r="278" spans="1:25" x14ac:dyDescent="0.35">
      <c r="A278" s="5" t="s">
        <v>10</v>
      </c>
      <c r="B278" s="5" t="s">
        <v>4</v>
      </c>
      <c r="D278" s="5" t="s">
        <v>10</v>
      </c>
      <c r="E278" s="54" t="s">
        <v>411</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ServiceArea</v>
      </c>
      <c r="V278" s="8" t="str">
        <f>IF(LEN(Table2[[#This Row],[!Description]]) &gt; 0, Table2[[#This Row],[!Description]], "rg:None")</f>
        <v>The Ministry of Transportation and Infrastructure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Row],[!Unique]])&gt;0,IF(Table2[[#This Row],[!Type]] = "id", "rg:None","rg:True"),"rg:None")</f>
        <v>rg:None</v>
      </c>
    </row>
    <row r="279" spans="1:25" x14ac:dyDescent="0.35">
      <c r="A279" s="5" t="s">
        <v>10</v>
      </c>
      <c r="B279" s="5" t="s">
        <v>6</v>
      </c>
      <c r="D279" s="5" t="s">
        <v>6</v>
      </c>
      <c r="E279" s="54" t="s">
        <v>315</v>
      </c>
      <c r="F279" s="5" t="s">
        <v>5</v>
      </c>
      <c r="G279" s="4" t="s">
        <v>60</v>
      </c>
      <c r="H279" s="41" t="s">
        <v>60</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ServiceArea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Row],[!Unique]])&gt;0,IF(Table2[[#This Row],[!Type]] = "id", "rg:None","rg:True"),"rg:None")</f>
        <v>rg:None</v>
      </c>
    </row>
    <row r="280" spans="1:25" x14ac:dyDescent="0.35">
      <c r="A280" s="5" t="s">
        <v>10</v>
      </c>
      <c r="B280" s="5" t="s">
        <v>13</v>
      </c>
      <c r="D280" s="5" t="s">
        <v>36</v>
      </c>
      <c r="E280" s="76" t="s">
        <v>402</v>
      </c>
      <c r="F280" s="5" t="s">
        <v>5</v>
      </c>
      <c r="G280" s="41" t="s">
        <v>60</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ministryServiceAreaID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Row],[!Unique]])&gt;0,IF(Table2[[#This Row],[!Type]] = "id", "rg:None","rg:True"),"rg:None")</f>
        <v>rg:None</v>
      </c>
    </row>
    <row r="281" spans="1:25" x14ac:dyDescent="0.35">
      <c r="A281" s="61" t="s">
        <v>10</v>
      </c>
      <c r="B281" s="61" t="s">
        <v>13</v>
      </c>
      <c r="C281" s="72"/>
      <c r="D281" s="61" t="s">
        <v>409</v>
      </c>
      <c r="E281" s="47" t="s">
        <v>410</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areaNumber</v>
      </c>
      <c r="V281" s="14" t="str">
        <f>IF(LEN(Table2[[#This Row],[!Description]]) &gt; 0, Table2[[#This Row],[!Description]], "rg:None")</f>
        <v>A number that uniquely defines a Ministry Service Area.</v>
      </c>
      <c r="W281" s="14" t="str">
        <f>IF(LEN(Table2[[#This Row],[!FK]])&gt;0,Table2[[#This Row],[!FK]],"rg:None")</f>
        <v>rg:None</v>
      </c>
      <c r="X281" s="14" t="str">
        <f>IF(LEN(concatif2(A:A,Table2[[#This Row],[!Table]],G:G,"Y",D:D,",")) &gt; 0,"rg:[ { 'req' : '"&amp;concatif2(A:A,Table2[[#This Row],[!Table]],G:G,"Y",D:D,"' }, { 'req': '")&amp;"'} ]","rg:[]")</f>
        <v>rg:[ { 'req' : 'id' }, { 'req': 'ministryServiceAreaID' }, { 'req': 'name' }, { 'req': 'district' }, { 'req': 'startDate'} ]</v>
      </c>
      <c r="Y281" s="14" t="str">
        <f>IF(LEN(Table2[[#This Row],[!Unique]])&gt;0,IF(Table2[[#This Row],[!Type]] = "id", "rg:None","rg:True"),"rg:None")</f>
        <v>rg:None</v>
      </c>
    </row>
    <row r="282" spans="1:25" x14ac:dyDescent="0.35">
      <c r="A282" s="5" t="s">
        <v>10</v>
      </c>
      <c r="B282" s="5" t="s">
        <v>7</v>
      </c>
      <c r="C282" s="5">
        <v>150</v>
      </c>
      <c r="D282" s="5" t="s">
        <v>15</v>
      </c>
      <c r="E282" s="76" t="s">
        <v>408</v>
      </c>
      <c r="F282" s="5" t="s">
        <v>5</v>
      </c>
      <c r="G282" s="41" t="s">
        <v>60</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Service Area.</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Row],[!Unique]])&gt;0,IF(Table2[[#This Row],[!Type]] = "id", "rg:None","rg:True"),"rg:None")</f>
        <v>rg:None</v>
      </c>
    </row>
    <row r="283" spans="1:25" x14ac:dyDescent="0.35">
      <c r="A283" s="5" t="s">
        <v>10</v>
      </c>
      <c r="B283" s="5" t="s">
        <v>8</v>
      </c>
      <c r="D283" s="5" t="s">
        <v>37</v>
      </c>
      <c r="E283" s="54" t="s">
        <v>38</v>
      </c>
      <c r="F283" s="5" t="s">
        <v>32</v>
      </c>
      <c r="G283" s="63" t="s">
        <v>60</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district</v>
      </c>
      <c r="V283" s="8" t="str">
        <f>IF(LEN(Table2[[#This Row],[!Description]]) &gt; 0, Table2[[#This Row],[!Description]], "rg:None")</f>
        <v>The district in which the Service Area is found.</v>
      </c>
      <c r="W283" s="8" t="str">
        <f>IF(LEN(Table2[[#This Row],[!FK]])&gt;0,Table2[[#This Row],[!FK]],"rg:None")</f>
        <v>District</v>
      </c>
      <c r="X283" s="8" t="str">
        <f>IF(LEN(concatif2(A:A,Table2[[#This Row],[!Table]],G:G,"Y",D:D,",")) &gt; 0,"rg:[ { 'req' : '"&amp;concatif2(A:A,Table2[[#This Row],[!Table]],G:G,"Y",D:D,"' }, { 'req': '")&amp;"'} ]","rg:[]")</f>
        <v>rg:[ { 'req' : 'id' }, { 'req': 'ministryServiceAreaID' }, { 'req': 'name' }, { 'req': 'district' }, { 'req': 'startDate'} ]</v>
      </c>
      <c r="Y283" s="8" t="str">
        <f>IF(LEN(Table2[[#This Row],[!Unique]])&gt;0,IF(Table2[[#This Row],[!Type]] = "id", "rg:None","rg:True"),"rg:None")</f>
        <v>rg:None</v>
      </c>
    </row>
    <row r="284" spans="1:25" ht="28.8" x14ac:dyDescent="0.35">
      <c r="A284" s="5" t="s">
        <v>10</v>
      </c>
      <c r="B284" s="5" t="s">
        <v>12</v>
      </c>
      <c r="D284" s="5" t="s">
        <v>30</v>
      </c>
      <c r="E284" s="76" t="s">
        <v>406</v>
      </c>
      <c r="F284" s="5" t="s">
        <v>5</v>
      </c>
      <c r="G284" s="63" t="s">
        <v>60</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'ministryServiceAreaID' }, { 'req': 'name' }, { 'req': 'district' }, { 'req': 'startDate'} ]</v>
      </c>
      <c r="Y284" s="8" t="str">
        <f>IF(LEN(Table2[[#This Row],[!Unique]])&gt;0,IF(Table2[[#This Row],[!Type]] = "id", "rg:None","rg:True"),"rg:None")</f>
        <v>rg:None</v>
      </c>
    </row>
    <row r="285" spans="1:25" ht="28.8" x14ac:dyDescent="0.35">
      <c r="A285" s="5" t="s">
        <v>10</v>
      </c>
      <c r="B285" s="5" t="s">
        <v>12</v>
      </c>
      <c r="D285" s="5" t="s">
        <v>31</v>
      </c>
      <c r="E285" s="76" t="s">
        <v>407</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Row],[!Unique]])&gt;0,IF(Table2[[#This Row],[!Type]] = "id", "rg:None","rg:True"),"rg:None")</f>
        <v>rg:None</v>
      </c>
    </row>
    <row r="286" spans="1:25" x14ac:dyDescent="0.35">
      <c r="A286" s="109" t="s">
        <v>149</v>
      </c>
      <c r="B286" s="5" t="s">
        <v>4</v>
      </c>
      <c r="D286" s="109" t="s">
        <v>149</v>
      </c>
      <c r="E286" s="76" t="s">
        <v>366</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LocalArea</v>
      </c>
      <c r="V286" s="8" t="str">
        <f>IF(LEN(Table2[[#This Row],[!Description]]) &gt; 0, Table2[[#This Row],[!Description]], "rg:None")</f>
        <v>A HETS-application defined area that is within a Service Area.</v>
      </c>
      <c r="W286" s="8" t="str">
        <f>IF(LEN(Table2[[#This Row],[!FK]])&gt;0,Table2[[#This Row],[!FK]],"rg:None")</f>
        <v>rg:None</v>
      </c>
      <c r="X286" s="8" t="str">
        <f>IF(LEN(concatif2(A:A,Table2[[#This Row],[!Table]],G:G,"Y",D:D,",")) &gt; 0,"rg:[ { 'req' : '"&amp;concatif2(A:A,Table2[[#This Row],[!Table]],G:G,"Y",D:D,"' }, { 'req': '")&amp;"'} ]","rg:[]")</f>
        <v>rg:[ { 'req' : 'id' }, { 'req': 'localAreaNumber' }, { 'req': 'name' }, { 'req': 'serviceArea' }, { 'req': 'startDate'} ]</v>
      </c>
      <c r="Y286" s="8" t="str">
        <f>IF(LEN(Table2[[#This Row],[!Unique]])&gt;0,IF(Table2[[#This Row],[!Type]] = "id", "rg:None","rg:True"),"rg:None")</f>
        <v>rg:None</v>
      </c>
    </row>
    <row r="287" spans="1:25" x14ac:dyDescent="0.35">
      <c r="A287" s="109" t="s">
        <v>149</v>
      </c>
      <c r="B287" s="5" t="s">
        <v>6</v>
      </c>
      <c r="D287" s="5" t="s">
        <v>6</v>
      </c>
      <c r="E287" s="54" t="s">
        <v>344</v>
      </c>
      <c r="F287" s="5" t="s">
        <v>5</v>
      </c>
      <c r="G287" s="4" t="s">
        <v>60</v>
      </c>
      <c r="H287" s="155" t="s">
        <v>60</v>
      </c>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LocalArea</v>
      </c>
      <c r="W287" s="8" t="str">
        <f>IF(LEN(Table2[[#This Row],[!FK]])&gt;0,Table2[[#This Row],[!FK]],"rg:None")</f>
        <v>rg:None</v>
      </c>
      <c r="X287" s="8" t="str">
        <f>IF(LEN(concatif2(A:A,Table2[[#This Row],[!Table]],G:G,"Y",D:D,",")) &gt; 0,"rg:[ { 'req' : '"&amp;concatif2(A:A,Table2[[#This Row],[!Table]],G:G,"Y",D:D,"' }, { 'req': '")&amp;"'} ]","rg:[]")</f>
        <v>rg:[ { 'req' : 'id' }, { 'req': 'localAreaNumber' }, { 'req': 'name' }, { 'req': 'serviceArea' }, { 'req': 'startDate'} ]</v>
      </c>
      <c r="Y287" s="8" t="str">
        <f>IF(LEN(Table2[[#This Row],[!Unique]])&gt;0,IF(Table2[[#This Row],[!Type]] = "id", "rg:None","rg:True"),"rg:None")</f>
        <v>rg:None</v>
      </c>
    </row>
    <row r="288" spans="1:25" x14ac:dyDescent="0.35">
      <c r="A288" s="61" t="s">
        <v>149</v>
      </c>
      <c r="B288" s="61" t="s">
        <v>13</v>
      </c>
      <c r="C288" s="72"/>
      <c r="D288" s="61" t="s">
        <v>413</v>
      </c>
      <c r="E288" s="60" t="s">
        <v>412</v>
      </c>
      <c r="F288" s="12"/>
      <c r="G288" s="154" t="s">
        <v>60</v>
      </c>
      <c r="H288" s="18"/>
      <c r="I288" s="4" t="str">
        <f>IF(LEN(A288) &gt; 0,"Defs","-")</f>
        <v>Defs</v>
      </c>
      <c r="J288" s="14" t="str">
        <f>IF(Table2[[#This Row],[!Type]]=J$1, J$1,"rg:None")</f>
        <v>rg:None</v>
      </c>
      <c r="K288" s="14" t="str">
        <f>IF(Table2[[#This Row],[!Type]]=K$1, K$1,"rg:None")</f>
        <v>rg:None</v>
      </c>
      <c r="L288" s="14" t="str">
        <f>IF(Table2[[#This Row],[!Type]]=L$1, L$1,"rg:None")</f>
        <v>rg:None</v>
      </c>
      <c r="M288" s="14" t="str">
        <f>IF(Table2[[#This Row],[!Type]]=M$1, M$1,"rg:None")</f>
        <v>rg:None</v>
      </c>
      <c r="N288" s="14" t="str">
        <f>IF(Table2[[#This Row],[!Type]]=N$1, N$1,"rg:None")</f>
        <v>integer</v>
      </c>
      <c r="O288" s="14" t="str">
        <f>IF(Table2[[#This Row],[!Type]]=O$1, O$1,"rg:None")</f>
        <v>rg:None</v>
      </c>
      <c r="P288" s="4" t="str">
        <f>IF(Table2[[#This Row],[!Type]]=P$1, P$1,"rg:None")</f>
        <v>rg:None</v>
      </c>
      <c r="Q288" s="4" t="str">
        <f>IF(Table2[[#This Row],[!Type]]=Q$1, Q$1,"rg:None")</f>
        <v>rg:None</v>
      </c>
      <c r="R288" s="4" t="str">
        <f>IF(Table2[[#This Row],[!Type]]=R$1, R$1,"rg:None")</f>
        <v>rg:None</v>
      </c>
      <c r="S288" s="4" t="str">
        <f>IF(Table2[[#This Row],[!Type]]=S$1, S$1,"rg:None")</f>
        <v>rg:None</v>
      </c>
      <c r="T288" s="14" t="str">
        <f>IF(LEN(Table2[[#This Row],[!Length]]) &gt; 0, Table2[[#This Row],[!Length]], "rg:None")</f>
        <v>rg:None</v>
      </c>
      <c r="U288" s="14" t="str">
        <f>IF(LEN(Table2[[#This Row],[!Name]]) &gt; 0, Table2[[#This Row],[!Name]], "rg:None")</f>
        <v>localAreaNumber</v>
      </c>
      <c r="V288" s="14" t="str">
        <f>IF(LEN(Table2[[#This Row],[!Description]]) &gt; 0, Table2[[#This Row],[!Description]], "rg:None")</f>
        <v>A system-generated, visible to the user number for the Local Area</v>
      </c>
      <c r="W288" s="14" t="str">
        <f>IF(LEN(Table2[[#This Row],[!FK]])&gt;0,Table2[[#This Row],[!FK]],"rg:None")</f>
        <v>rg:None</v>
      </c>
      <c r="X288" s="14" t="str">
        <f>IF(LEN(concatif2(A:A,Table2[[#This Row],[!Table]],G:G,"Y",D:D,",")) &gt; 0,"rg:[ { 'req' : '"&amp;concatif2(A:A,Table2[[#This Row],[!Table]],G:G,"Y",D:D,"' }, { 'req': '")&amp;"'} ]","rg:[]")</f>
        <v>rg:[ { 'req' : 'id' }, { 'req': 'localAreaNumber' }, { 'req': 'name' }, { 'req': 'serviceArea' }, { 'req': 'startDate'} ]</v>
      </c>
      <c r="Y288" s="14" t="str">
        <f>IF(LEN(Table2[[#This Row],[!Unique]])&gt;0,IF(Table2[[#This Row],[!Type]] = "id", "rg:None","rg:True"),"rg:None")</f>
        <v>rg:None</v>
      </c>
    </row>
    <row r="289" spans="1:25" x14ac:dyDescent="0.35">
      <c r="A289" s="109" t="s">
        <v>149</v>
      </c>
      <c r="B289" s="5" t="s">
        <v>7</v>
      </c>
      <c r="C289" s="5">
        <v>150</v>
      </c>
      <c r="D289" s="5" t="s">
        <v>15</v>
      </c>
      <c r="E289" s="110" t="s">
        <v>150</v>
      </c>
      <c r="F289" s="5" t="s">
        <v>5</v>
      </c>
      <c r="G289" s="155" t="s">
        <v>60</v>
      </c>
      <c r="H289" s="155" t="s">
        <v>60</v>
      </c>
      <c r="I289" s="5" t="str">
        <f>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full name of the Local Area</v>
      </c>
      <c r="W289" s="8" t="str">
        <f>IF(LEN(Table2[[#This Row],[!FK]])&gt;0,Table2[[#This Row],[!FK]],"rg:None")</f>
        <v>rg:None</v>
      </c>
      <c r="X289" s="8" t="str">
        <f>IF(LEN(concatif2(A:A,Table2[[#This Row],[!Table]],G:G,"Y",D:D,",")) &gt; 0,"rg:[ { 'req' : '"&amp;concatif2(A:A,Table2[[#This Row],[!Table]],G:G,"Y",D:D,"' }, { 'req': '")&amp;"'} ]","rg:[]")</f>
        <v>rg:[ { 'req' : 'id' }, { 'req': 'localAreaNumber' }, { 'req': 'name' }, { 'req': 'serviceArea' }, { 'req': 'startDate'} ]</v>
      </c>
      <c r="Y289" s="8" t="str">
        <f>IF(LEN(Table2[[#This Row],[!Unique]])&gt;0,IF(Table2[[#This Row],[!Type]] = "id", "rg:None","rg:True"),"rg:None")</f>
        <v>rg:True</v>
      </c>
    </row>
    <row r="290" spans="1:25" x14ac:dyDescent="0.35">
      <c r="A290" s="109" t="s">
        <v>149</v>
      </c>
      <c r="B290" s="5" t="s">
        <v>8</v>
      </c>
      <c r="D290" s="109" t="s">
        <v>151</v>
      </c>
      <c r="E290" s="110" t="s">
        <v>152</v>
      </c>
      <c r="F290" s="109" t="s">
        <v>10</v>
      </c>
      <c r="G290" s="155" t="s">
        <v>60</v>
      </c>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serviceArea</v>
      </c>
      <c r="V290" s="8" t="str">
        <f>IF(LEN(Table2[[#This Row],[!Description]]) &gt; 0, Table2[[#This Row],[!Description]], "rg:None")</f>
        <v>The Service Area in which the Local Area is found.</v>
      </c>
      <c r="W290" s="8" t="str">
        <f>IF(LEN(Table2[[#This Row],[!FK]])&gt;0,Table2[[#This Row],[!FK]],"rg:None")</f>
        <v>ServiceArea</v>
      </c>
      <c r="X290" s="8" t="str">
        <f>IF(LEN(concatif2(A:A,Table2[[#This Row],[!Table]],G:G,"Y",D:D,",")) &gt; 0,"rg:[ { 'req' : '"&amp;concatif2(A:A,Table2[[#This Row],[!Table]],G:G,"Y",D:D,"' }, { 'req': '")&amp;"'} ]","rg:[]")</f>
        <v>rg:[ { 'req' : 'id' }, { 'req': 'localAreaNumber' }, { 'req': 'name' }, { 'req': 'serviceArea' }, { 'req': 'startDate'} ]</v>
      </c>
      <c r="Y290" s="8" t="str">
        <f>IF(LEN(Table2[[#This Row],[!Unique]])&gt;0,IF(Table2[[#This Row],[!Type]] = "id", "rg:None","rg:True"),"rg:None")</f>
        <v>rg:None</v>
      </c>
    </row>
    <row r="291" spans="1:25" ht="28.8" x14ac:dyDescent="0.35">
      <c r="A291" s="61" t="s">
        <v>149</v>
      </c>
      <c r="B291" s="5" t="s">
        <v>12</v>
      </c>
      <c r="D291" s="5" t="s">
        <v>30</v>
      </c>
      <c r="E291" s="76" t="s">
        <v>406</v>
      </c>
      <c r="F291" s="5" t="s">
        <v>5</v>
      </c>
      <c r="G291" s="63" t="s">
        <v>60</v>
      </c>
      <c r="H291" s="4"/>
      <c r="I291" s="5" t="str">
        <f t="shared" ref="I291:I292" si="29">IF(LEN(A291) &gt; 0,"Defs","-")</f>
        <v>Defs</v>
      </c>
      <c r="J291" s="8" t="str">
        <f>IF(Table2[[#This Row],[!Type]]=J$1, J$1,"rg:None")</f>
        <v>rg:None</v>
      </c>
      <c r="K291" s="8" t="str">
        <f>IF(Table2[[#This Row],[!Type]]=K$1, K$1,"rg:None")</f>
        <v>rg:None</v>
      </c>
      <c r="L291" s="8" t="str">
        <f>IF(Table2[[#This Row],[!Type]]=L$1, L$1,"rg:None")</f>
        <v>datetime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startDate</v>
      </c>
      <c r="V291" s="8" t="str">
        <f>IF(LEN(Table2[[#This Row],[!Description]]) &gt; 0, Table2[[#This Row],[!Description]], "rg:None")</f>
        <v>The DATE the business information came into effect. - NOT CURRENTLY ENFORCED IN THIS SYSTEM</v>
      </c>
      <c r="W291" s="8" t="str">
        <f>IF(LEN(Table2[[#This Row],[!FK]])&gt;0,Table2[[#This Row],[!FK]],"rg:None")</f>
        <v>rg:None</v>
      </c>
      <c r="X291" s="8" t="str">
        <f>IF(LEN(concatif2(A:A,Table2[[#This Row],[!Table]],G:G,"Y",D:D,",")) &gt; 0,"rg:[ { 'req' : '"&amp;concatif2(A:A,Table2[[#This Row],[!Table]],G:G,"Y",D:D,"' }, { 'req': '")&amp;"'} ]","rg:[]")</f>
        <v>rg:[ { 'req' : 'id' }, { 'req': 'localAreaNumber' }, { 'req': 'name' }, { 'req': 'serviceArea' }, { 'req': 'startDate'} ]</v>
      </c>
      <c r="Y291" s="8" t="str">
        <f>IF(LEN(Table2[[#This Row],[!Unique]])&gt;0,IF(Table2[[#This Row],[!Type]] = "id", "rg:None","rg:True"),"rg:None")</f>
        <v>rg:None</v>
      </c>
    </row>
    <row r="292" spans="1:25" ht="28.8" x14ac:dyDescent="0.35">
      <c r="A292" s="61" t="s">
        <v>149</v>
      </c>
      <c r="B292" s="5" t="s">
        <v>12</v>
      </c>
      <c r="D292" s="5" t="s">
        <v>31</v>
      </c>
      <c r="E292" s="76" t="s">
        <v>407</v>
      </c>
      <c r="F292" s="5" t="s">
        <v>5</v>
      </c>
      <c r="G292" s="4"/>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endDate</v>
      </c>
      <c r="V292" s="8" t="str">
        <f>IF(LEN(Table2[[#This Row],[!Description]]) &gt; 0, Table2[[#This Row],[!Description]], "rg:None")</f>
        <v>The DATE the business information ceased to be in effect. - NOT CURRENTLY ENFORCED IN THIS SYSTEM</v>
      </c>
      <c r="W292" s="8" t="str">
        <f>IF(LEN(Table2[[#This Row],[!FK]])&gt;0,Table2[[#This Row],[!FK]],"rg:None")</f>
        <v>rg:None</v>
      </c>
      <c r="X292" s="8" t="str">
        <f>IF(LEN(concatif2(A:A,Table2[[#This Row],[!Table]],G:G,"Y",D:D,",")) &gt; 0,"rg:[ { 'req' : '"&amp;concatif2(A:A,Table2[[#This Row],[!Table]],G:G,"Y",D:D,"' }, { 'req': '")&amp;"'} ]","rg:[]")</f>
        <v>rg:[ { 'req' : 'id' }, { 'req': 'localAreaNumber' }, { 'req': 'name' }, { 'req': 'serviceArea' }, { 'req': 'startDate'} ]</v>
      </c>
      <c r="Y292" s="8" t="str">
        <f>IF(LEN(Table2[[#This Row],[!Unique]])&gt;0,IF(Table2[[#This Row],[!Type]] = "id", "rg:None","rg:True"),"rg:None")</f>
        <v>rg:None</v>
      </c>
    </row>
    <row r="293" spans="1:25" x14ac:dyDescent="0.35">
      <c r="A293" s="5" t="s">
        <v>11</v>
      </c>
      <c r="B293" s="5" t="s">
        <v>4</v>
      </c>
      <c r="D293" s="5" t="s">
        <v>11</v>
      </c>
      <c r="E293" s="54" t="s">
        <v>62</v>
      </c>
      <c r="F293" s="5" t="s">
        <v>5</v>
      </c>
      <c r="G293" s="4"/>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City</v>
      </c>
      <c r="V293" s="8" t="str">
        <f>IF(LEN(Table2[[#This Row],[!Description]]) &gt; 0, Table2[[#This Row],[!Description]], "rg:None")</f>
        <v>A list of cities in BC. Authoritative source to be determined.</v>
      </c>
      <c r="W293" s="8" t="str">
        <f>IF(LEN(Table2[[#This Row],[!FK]])&gt;0,Table2[[#This Row],[!FK]],"rg:None")</f>
        <v>rg:None</v>
      </c>
      <c r="X293" s="8" t="str">
        <f>IF(LEN(concatif2(A:A,Table2[[#This Row],[!Table]],G:G,"Y",D:D,",")) &gt; 0,"rg:[ { 'req' : '"&amp;concatif2(A:A,Table2[[#This Row],[!Table]],G:G,"Y",D:D,"' }, { 'req': '")&amp;"'} ]","rg:[]")</f>
        <v>rg:[ { 'req' : 'id' }, { 'req': 'name'} ]</v>
      </c>
      <c r="Y293" s="8" t="str">
        <f>IF(LEN(Table2[[#This Row],[!Unique]])&gt;0,IF(Table2[[#This Row],[!Type]] = "id", "rg:None","rg:True"),"rg:None")</f>
        <v>rg:None</v>
      </c>
    </row>
    <row r="294" spans="1:25" x14ac:dyDescent="0.35">
      <c r="A294" s="5" t="s">
        <v>11</v>
      </c>
      <c r="B294" s="5" t="s">
        <v>6</v>
      </c>
      <c r="D294" s="5" t="s">
        <v>6</v>
      </c>
      <c r="E294" s="54" t="s">
        <v>316</v>
      </c>
      <c r="F294" s="5" t="s">
        <v>5</v>
      </c>
      <c r="G294" s="4" t="s">
        <v>60</v>
      </c>
      <c r="H294" s="155" t="s">
        <v>60</v>
      </c>
      <c r="I294" s="5" t="str">
        <f t="shared" si="28"/>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City</v>
      </c>
      <c r="W294" s="8" t="str">
        <f>IF(LEN(Table2[[#This Row],[!FK]])&gt;0,Table2[[#This Row],[!FK]],"rg:None")</f>
        <v>rg:None</v>
      </c>
      <c r="X294" s="8" t="str">
        <f>IF(LEN(concatif2(A:A,Table2[[#This Row],[!Table]],G:G,"Y",D:D,",")) &gt; 0,"rg:[ { 'req' : '"&amp;concatif2(A:A,Table2[[#This Row],[!Table]],G:G,"Y",D:D,"' }, { 'req': '")&amp;"'} ]","rg:[]")</f>
        <v>rg:[ { 'req' : 'id' }, { 'req': 'name'} ]</v>
      </c>
      <c r="Y294" s="8" t="str">
        <f>IF(LEN(Table2[[#This Row],[!Unique]])&gt;0,IF(Table2[[#This Row],[!Type]] = "id", "rg:None","rg:True"),"rg:None")</f>
        <v>rg:None</v>
      </c>
    </row>
    <row r="295" spans="1:25" x14ac:dyDescent="0.35">
      <c r="A295" s="5" t="s">
        <v>11</v>
      </c>
      <c r="B295" s="5" t="s">
        <v>7</v>
      </c>
      <c r="C295" s="5">
        <v>150</v>
      </c>
      <c r="D295" s="5" t="s">
        <v>15</v>
      </c>
      <c r="E295" s="54" t="s">
        <v>39</v>
      </c>
      <c r="F295" s="5" t="s">
        <v>5</v>
      </c>
      <c r="G295" s="155" t="s">
        <v>60</v>
      </c>
      <c r="H295" s="4"/>
      <c r="I295" s="5" t="str">
        <f t="shared" si="28"/>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150</v>
      </c>
      <c r="U295" s="8" t="str">
        <f>IF(LEN(Table2[[#This Row],[!Name]]) &gt; 0, Table2[[#This Row],[!Name]], "rg:None")</f>
        <v>name</v>
      </c>
      <c r="V295" s="8" t="str">
        <f>IF(LEN(Table2[[#This Row],[!Description]]) &gt; 0, Table2[[#This Row],[!Description]], "rg:None")</f>
        <v>The name of the City</v>
      </c>
      <c r="W295" s="8" t="str">
        <f>IF(LEN(Table2[[#This Row],[!FK]])&gt;0,Table2[[#This Row],[!FK]],"rg:None")</f>
        <v>rg:None</v>
      </c>
      <c r="X295" s="8" t="str">
        <f>IF(LEN(concatif2(A:A,Table2[[#This Row],[!Table]],G:G,"Y",D:D,",")) &gt; 0,"rg:[ { 'req' : '"&amp;concatif2(A:A,Table2[[#This Row],[!Table]],G:G,"Y",D:D,"' }, { 'req': '")&amp;"'} ]","rg:[]")</f>
        <v>rg:[ { 'req' : 'id' }, { 'req': 'name'} ]</v>
      </c>
      <c r="Y295" s="8" t="str">
        <f>IF(LEN(Table2[[#This Row],[!Unique]])&gt;0,IF(Table2[[#This Row],[!Type]] = "id", "rg:None","rg:True"),"rg:None")</f>
        <v>rg:None</v>
      </c>
    </row>
    <row r="296" spans="1:25" x14ac:dyDescent="0.35">
      <c r="A296" s="5" t="s">
        <v>0</v>
      </c>
      <c r="B296" s="5" t="s">
        <v>4</v>
      </c>
      <c r="D296" s="5" t="s">
        <v>0</v>
      </c>
      <c r="E296" s="76" t="s">
        <v>367</v>
      </c>
      <c r="F296" s="5" t="s">
        <v>5</v>
      </c>
      <c r="G296" s="4"/>
      <c r="H296" s="4"/>
      <c r="I296" s="5" t="str">
        <f t="shared" si="28"/>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User</v>
      </c>
      <c r="V296" s="8" t="str">
        <f>IF(LEN(Table2[[#This Row],[!Description]]) &gt; 0, Table2[[#This Row],[!Description]], "rg:None")</f>
        <v>An identified user in the HETS Application that has a defined authorization level.</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Row],[!Unique]])&gt;0,IF(Table2[[#This Row],[!Type]] = "id", "rg:None","rg:True"),"rg:None")</f>
        <v>rg:None</v>
      </c>
    </row>
    <row r="297" spans="1:25" x14ac:dyDescent="0.35">
      <c r="A297" s="5" t="s">
        <v>0</v>
      </c>
      <c r="B297" s="5" t="s">
        <v>6</v>
      </c>
      <c r="D297" s="5" t="s">
        <v>6</v>
      </c>
      <c r="E297" s="54" t="s">
        <v>317</v>
      </c>
      <c r="F297" s="5" t="s">
        <v>5</v>
      </c>
      <c r="G297" s="4" t="s">
        <v>60</v>
      </c>
      <c r="H297" s="155" t="s">
        <v>60</v>
      </c>
      <c r="I297" s="5" t="str">
        <f t="shared" si="28"/>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User</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Row],[!Unique]])&gt;0,IF(Table2[[#This Row],[!Type]] = "id", "rg:None","rg:True"),"rg:None")</f>
        <v>rg:None</v>
      </c>
    </row>
    <row r="298" spans="1:25" x14ac:dyDescent="0.35">
      <c r="A298" s="5" t="s">
        <v>0</v>
      </c>
      <c r="B298" s="5" t="s">
        <v>7</v>
      </c>
      <c r="C298" s="5">
        <v>50</v>
      </c>
      <c r="D298" s="5" t="s">
        <v>16</v>
      </c>
      <c r="E298" s="54" t="s">
        <v>318</v>
      </c>
      <c r="F298" s="5" t="s">
        <v>5</v>
      </c>
      <c r="G298" s="41" t="s">
        <v>60</v>
      </c>
      <c r="H298" s="41"/>
      <c r="I298" s="5" t="str">
        <f t="shared" si="28"/>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50</v>
      </c>
      <c r="U298" s="8" t="str">
        <f>IF(LEN(Table2[[#This Row],[!Name]]) &gt; 0, Table2[[#This Row],[!Name]], "rg:None")</f>
        <v>givenName</v>
      </c>
      <c r="V298" s="8" t="str">
        <f>IF(LEN(Table2[[#This Row],[!Description]]) &gt; 0, Table2[[#This Row],[!Description]], "rg:None")</f>
        <v>Given name of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Row],[!Unique]])&gt;0,IF(Table2[[#This Row],[!Type]] = "id", "rg:None","rg:True"),"rg:None")</f>
        <v>rg:None</v>
      </c>
    </row>
    <row r="299" spans="1:25" x14ac:dyDescent="0.35">
      <c r="A299" s="5" t="s">
        <v>0</v>
      </c>
      <c r="B299" s="5" t="s">
        <v>7</v>
      </c>
      <c r="C299" s="5">
        <v>50</v>
      </c>
      <c r="D299" s="5" t="s">
        <v>17</v>
      </c>
      <c r="E299" s="54" t="s">
        <v>319</v>
      </c>
      <c r="F299" s="5" t="s">
        <v>5</v>
      </c>
      <c r="G299" s="41" t="s">
        <v>60</v>
      </c>
      <c r="H299" s="41"/>
      <c r="I299" s="5" t="str">
        <f t="shared" ref="I299:I334" si="30">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surname</v>
      </c>
      <c r="V299" s="8" t="str">
        <f>IF(LEN(Table2[[#This Row],[!Description]]) &gt; 0, Table2[[#This Row],[!Description]], "rg:None")</f>
        <v>Surname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Row],[!Unique]])&gt;0,IF(Table2[[#This Row],[!Type]] = "id", "rg:None","rg:True"),"rg:None")</f>
        <v>rg:None</v>
      </c>
    </row>
    <row r="300" spans="1:25" x14ac:dyDescent="0.35">
      <c r="A300" s="5" t="s">
        <v>0</v>
      </c>
      <c r="B300" s="5" t="s">
        <v>7</v>
      </c>
      <c r="C300" s="5">
        <v>10</v>
      </c>
      <c r="D300" s="5" t="s">
        <v>41</v>
      </c>
      <c r="E300" s="54" t="s">
        <v>320</v>
      </c>
      <c r="F300" s="5" t="s">
        <v>5</v>
      </c>
      <c r="G300" s="4"/>
      <c r="H300" s="4"/>
      <c r="I300" s="5" t="str">
        <f t="shared" si="30"/>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10</v>
      </c>
      <c r="U300" s="8" t="str">
        <f>IF(LEN(Table2[[#This Row],[!Name]]) &gt; 0, Table2[[#This Row],[!Name]], "rg:None")</f>
        <v>initials</v>
      </c>
      <c r="V300" s="8" t="str">
        <f>IF(LEN(Table2[[#This Row],[!Description]]) &gt; 0, Table2[[#This Row],[!Description]], "rg:None")</f>
        <v>Initials of the user, to be presented where screen space is at a premium.</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Row],[!Unique]])&gt;0,IF(Table2[[#This Row],[!Type]] = "id", "rg:None","rg:True"),"rg:None")</f>
        <v>rg:None</v>
      </c>
    </row>
    <row r="301" spans="1:25" x14ac:dyDescent="0.35">
      <c r="A301" s="5" t="s">
        <v>0</v>
      </c>
      <c r="B301" s="5" t="s">
        <v>7</v>
      </c>
      <c r="C301" s="5">
        <v>255</v>
      </c>
      <c r="D301" s="5" t="s">
        <v>42</v>
      </c>
      <c r="E301" s="54" t="s">
        <v>321</v>
      </c>
      <c r="F301" s="5" t="s">
        <v>5</v>
      </c>
      <c r="G301" s="4"/>
      <c r="H301" s="4"/>
      <c r="I301" s="5" t="str">
        <f t="shared" si="30"/>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email</v>
      </c>
      <c r="V301" s="8" t="str">
        <f>IF(LEN(Table2[[#This Row],[!Description]]) &gt; 0, Table2[[#This Row],[!Description]], "rg:None")</f>
        <v>The email address of the user in the system.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Row],[!Unique]])&gt;0,IF(Table2[[#This Row],[!Type]] = "id", "rg:None","rg:True"),"rg:None")</f>
        <v>rg:None</v>
      </c>
    </row>
    <row r="302" spans="1:25" ht="28.8" x14ac:dyDescent="0.35">
      <c r="A302" s="5" t="s">
        <v>0</v>
      </c>
      <c r="B302" s="5" t="s">
        <v>9</v>
      </c>
      <c r="D302" s="5" t="s">
        <v>40</v>
      </c>
      <c r="E302" s="54" t="s">
        <v>322</v>
      </c>
      <c r="F302" s="5" t="s">
        <v>5</v>
      </c>
      <c r="G302" s="4" t="s">
        <v>60</v>
      </c>
      <c r="H302" s="4"/>
      <c r="I302" s="5" t="str">
        <f t="shared" si="30"/>
        <v>Defs</v>
      </c>
      <c r="J302" s="8" t="str">
        <f>IF(Table2[[#This Row],[!Type]]=J$1, J$1,"rg:None")</f>
        <v>boolean</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active</v>
      </c>
      <c r="V302" s="8" t="str">
        <f>IF(LEN(Table2[[#This Row],[!Description]]) &gt; 0, Table2[[#This Row],[!Description]], "rg:None")</f>
        <v>A flag indicating the User is active in the system. Set false to remove access to the system for the user.</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Row],[!Unique]])&gt;0,IF(Table2[[#This Row],[!Type]] = "id", "rg:None","rg:True"),"rg:None")</f>
        <v>rg:None</v>
      </c>
    </row>
    <row r="303" spans="1:25" x14ac:dyDescent="0.35">
      <c r="A303" s="5" t="s">
        <v>0</v>
      </c>
      <c r="B303" s="5" t="s">
        <v>7</v>
      </c>
      <c r="C303" s="5">
        <v>255</v>
      </c>
      <c r="D303" s="5" t="s">
        <v>43</v>
      </c>
      <c r="E303" s="54" t="s">
        <v>44</v>
      </c>
      <c r="F303" s="5" t="s">
        <v>5</v>
      </c>
      <c r="G303" s="4"/>
      <c r="H303" s="4"/>
      <c r="I303" s="5" t="str">
        <f t="shared" si="30"/>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255</v>
      </c>
      <c r="U303" s="8" t="str">
        <f>IF(LEN(Table2[[#This Row],[!Name]]) &gt; 0, Table2[[#This Row],[!Name]], "rg:None")</f>
        <v>smUserId</v>
      </c>
      <c r="V303" s="8" t="str">
        <f>IF(LEN(Table2[[#This Row],[!Description]]) &gt; 0, Table2[[#This Row],[!Description]], "rg:None")</f>
        <v>Security Manager User ID</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Row],[!Unique]])&gt;0,IF(Table2[[#This Row],[!Type]] = "id", "rg:None","rg:True"),"rg:None")</f>
        <v>rg:None</v>
      </c>
    </row>
    <row r="304" spans="1:25" ht="72" x14ac:dyDescent="0.35">
      <c r="A304" s="5" t="s">
        <v>0</v>
      </c>
      <c r="B304" s="5" t="s">
        <v>7</v>
      </c>
      <c r="C304" s="5">
        <v>255</v>
      </c>
      <c r="D304" s="5" t="s">
        <v>45</v>
      </c>
      <c r="E304" s="54" t="s">
        <v>323</v>
      </c>
      <c r="F304" s="5" t="s">
        <v>5</v>
      </c>
      <c r="G304" s="4"/>
      <c r="H304" s="4"/>
      <c r="I304" s="5" t="str">
        <f t="shared" si="30"/>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guid</v>
      </c>
      <c r="V30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ht="28.8" x14ac:dyDescent="0.35">
      <c r="A305" s="5" t="s">
        <v>0</v>
      </c>
      <c r="B305" s="5" t="s">
        <v>7</v>
      </c>
      <c r="C305" s="5">
        <v>255</v>
      </c>
      <c r="D305" s="5" t="s">
        <v>46</v>
      </c>
      <c r="E305" s="54" t="s">
        <v>324</v>
      </c>
      <c r="F305" s="5" t="s">
        <v>5</v>
      </c>
      <c r="G305" s="4"/>
      <c r="H305" s="4"/>
      <c r="I305" s="5" t="str">
        <f t="shared" si="30"/>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smAuthorizationDirectory</v>
      </c>
      <c r="V305" s="8" t="str">
        <f>IF(LEN(Table2[[#This Row],[!Description]]) &gt; 0, Table2[[#This Row],[!Description]], "rg:None")</f>
        <v>The user directory service used by Siteminder to authenticate the user - usually IDIR or BCeID.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5">
      <c r="A306" s="5" t="s">
        <v>0</v>
      </c>
      <c r="B306" s="5" t="s">
        <v>19</v>
      </c>
      <c r="D306" s="5" t="s">
        <v>47</v>
      </c>
      <c r="F306" s="5" t="s">
        <v>49</v>
      </c>
      <c r="G306" s="4"/>
      <c r="H306" s="4"/>
      <c r="I306" s="5" t="str">
        <f t="shared" si="30"/>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links</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userRoles</v>
      </c>
      <c r="V306" s="8" t="str">
        <f>IF(LEN(Table2[[#This Row],[!Description]]) &gt; 0, Table2[[#This Row],[!Description]], "rg:None")</f>
        <v>rg:None</v>
      </c>
      <c r="W306" s="8" t="str">
        <f>IF(LEN(Table2[[#This Row],[!FK]])&gt;0,Table2[[#This Row],[!FK]],"rg:None")</f>
        <v>UserRole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5">
      <c r="A307" s="5" t="s">
        <v>0</v>
      </c>
      <c r="B307" s="5" t="s">
        <v>19</v>
      </c>
      <c r="D307" s="5" t="s">
        <v>48</v>
      </c>
      <c r="F307" s="5" t="s">
        <v>57</v>
      </c>
      <c r="G307" s="4"/>
      <c r="H307" s="4"/>
      <c r="I307" s="5" t="str">
        <f t="shared" si="30"/>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groupMemberships</v>
      </c>
      <c r="V307" s="8" t="str">
        <f>IF(LEN(Table2[[#This Row],[!Description]]) &gt; 0, Table2[[#This Row],[!Description]], "rg:None")</f>
        <v>rg:None</v>
      </c>
      <c r="W307" s="8" t="str">
        <f>IF(LEN(Table2[[#This Row],[!FK]])&gt;0,Table2[[#This Row],[!FK]],"rg:None")</f>
        <v>GroupMembership</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5">
      <c r="A308" s="67" t="s">
        <v>0</v>
      </c>
      <c r="B308" s="67" t="s">
        <v>8</v>
      </c>
      <c r="C308" s="72"/>
      <c r="D308" s="67" t="s">
        <v>32</v>
      </c>
      <c r="E308" s="47" t="s">
        <v>427</v>
      </c>
      <c r="F308" s="68" t="s">
        <v>32</v>
      </c>
      <c r="G308" s="18"/>
      <c r="H308" s="18"/>
      <c r="I308" s="4" t="str">
        <f>IF(LEN(A308) &gt; 0,"Defs","-")</f>
        <v>Defs</v>
      </c>
      <c r="J308" s="14" t="str">
        <f>IF(Table2[[#This Row],[!Type]]=J$1, J$1,"rg:None")</f>
        <v>rg:None</v>
      </c>
      <c r="K308" s="14" t="str">
        <f>IF(Table2[[#This Row],[!Type]]=K$1, K$1,"rg:None")</f>
        <v>rg:None</v>
      </c>
      <c r="L308" s="14" t="str">
        <f>IF(Table2[[#This Row],[!Type]]=L$1, L$1,"rg:None")</f>
        <v>rg:None</v>
      </c>
      <c r="M308" s="14" t="str">
        <f>IF(Table2[[#This Row],[!Type]]=M$1, M$1,"rg:None")</f>
        <v>rg:None</v>
      </c>
      <c r="N308" s="14" t="str">
        <f>IF(Table2[[#This Row],[!Type]]=N$1, N$1,"rg:None")</f>
        <v>rg:None</v>
      </c>
      <c r="O308" s="14" t="str">
        <f>IF(Table2[[#This Row],[!Type]]=O$1, O$1,"rg:None")</f>
        <v>rg:None</v>
      </c>
      <c r="P308" s="4" t="str">
        <f>IF(Table2[[#This Row],[!Type]]=P$1, P$1,"rg:None")</f>
        <v>rg:None</v>
      </c>
      <c r="Q308" s="4" t="str">
        <f>IF(Table2[[#This Row],[!Type]]=Q$1, Q$1,"rg:None")</f>
        <v>ref</v>
      </c>
      <c r="R308" s="4" t="str">
        <f>IF(Table2[[#This Row],[!Type]]=R$1, R$1,"rg:None")</f>
        <v>rg:None</v>
      </c>
      <c r="S308" s="4" t="str">
        <f>IF(Table2[[#This Row],[!Type]]=S$1, S$1,"rg:None")</f>
        <v>rg:None</v>
      </c>
      <c r="T308" s="14" t="str">
        <f>IF(LEN(Table2[[#This Row],[!Length]]) &gt; 0, Table2[[#This Row],[!Length]], "rg:None")</f>
        <v>rg:None</v>
      </c>
      <c r="U308" s="14" t="str">
        <f>IF(LEN(Table2[[#This Row],[!Name]]) &gt; 0, Table2[[#This Row],[!Name]], "rg:None")</f>
        <v>District</v>
      </c>
      <c r="V308" s="14" t="str">
        <f>IF(LEN(Table2[[#This Row],[!Description]]) &gt; 0, Table2[[#This Row],[!Description]], "rg:None")</f>
        <v>The District that the User belongs to</v>
      </c>
      <c r="W308" s="14" t="str">
        <f>IF(LEN(Table2[[#This Row],[!FK]])&gt;0,Table2[[#This Row],[!FK]],"rg:None")</f>
        <v>District</v>
      </c>
      <c r="X308" s="14" t="str">
        <f>IF(LEN(concatif2(A:A,Table2[[#This Row],[!Table]],G:G,"Y",D:D,",")) &gt; 0,"rg:[ { 'req' : '"&amp;concatif2(A:A,Table2[[#This Row],[!Table]],G:G,"Y",D:D,"' }, { 'req': '")&amp;"'} ]","rg:[]")</f>
        <v>rg:[ { 'req' : 'id' }, { 'req': 'givenName' }, { 'req': 'surname' }, { 'req': 'active'} ]</v>
      </c>
      <c r="Y308" s="14" t="str">
        <f>IF(LEN(Table2[[#This Row],[!Unique]])&gt;0,IF(Table2[[#This Row],[!Type]] = "id", "rg:None","rg:True"),"rg:None")</f>
        <v>rg:None</v>
      </c>
    </row>
    <row r="309" spans="1:25" ht="28.8" x14ac:dyDescent="0.35">
      <c r="A309" s="5" t="s">
        <v>49</v>
      </c>
      <c r="B309" s="5" t="s">
        <v>4</v>
      </c>
      <c r="D309" s="5" t="s">
        <v>49</v>
      </c>
      <c r="E309" s="54" t="s">
        <v>325</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table</v>
      </c>
      <c r="T309" s="8" t="str">
        <f>IF(LEN(Table2[[#This Row],[!Length]]) &gt; 0, Table2[[#This Row],[!Length]], "rg:None")</f>
        <v>rg:None</v>
      </c>
      <c r="U309" s="8" t="str">
        <f>IF(LEN(Table2[[#This Row],[!Name]]) &gt; 0, Table2[[#This Row],[!Name]], "rg:None")</f>
        <v>UserRole</v>
      </c>
      <c r="V30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9" s="8" t="str">
        <f>IF(LEN(Table2[[#This Row],[!FK]])&gt;0,Table2[[#This Row],[!FK]],"rg:None")</f>
        <v>rg:None</v>
      </c>
      <c r="X309" s="8" t="str">
        <f>IF(LEN(concatif2(A:A,Table2[[#This Row],[!Table]],G:G,"Y",D:D,",")) &gt; 0,"rg:[ { 'req' : '"&amp;concatif2(A:A,Table2[[#This Row],[!Table]],G:G,"Y",D:D,"' }, { 'req': '")&amp;"'} ]","rg:[]")</f>
        <v>rg:[ { 'req' : 'id' }, { 'req': 'effectiveDate'} ]</v>
      </c>
      <c r="Y309" s="8" t="str">
        <f>IF(LEN(Table2[[#This Row],[!Unique]])&gt;0,IF(Table2[[#This Row],[!Type]] = "id", "rg:None","rg:True"),"rg:None")</f>
        <v>rg:None</v>
      </c>
    </row>
    <row r="310" spans="1:25" x14ac:dyDescent="0.35">
      <c r="A310" s="5" t="s">
        <v>49</v>
      </c>
      <c r="B310" s="5" t="s">
        <v>6</v>
      </c>
      <c r="D310" s="5" t="s">
        <v>6</v>
      </c>
      <c r="E310" s="54" t="s">
        <v>326</v>
      </c>
      <c r="F310" s="5" t="s">
        <v>5</v>
      </c>
      <c r="G310" s="4" t="s">
        <v>60</v>
      </c>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id</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id</v>
      </c>
      <c r="V310" s="8" t="str">
        <f>IF(LEN(Table2[[#This Row],[!Description]]) &gt; 0, Table2[[#This Row],[!Description]], "rg:None")</f>
        <v>A system-generated unique identifier for a UserRole</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Row],[!Unique]])&gt;0,IF(Table2[[#This Row],[!Type]] = "id", "rg:None","rg:True"),"rg:None")</f>
        <v>rg:None</v>
      </c>
    </row>
    <row r="311" spans="1:25" x14ac:dyDescent="0.35">
      <c r="A311" s="5" t="s">
        <v>49</v>
      </c>
      <c r="B311" s="5" t="s">
        <v>12</v>
      </c>
      <c r="D311" s="5" t="s">
        <v>50</v>
      </c>
      <c r="E311" s="54" t="s">
        <v>327</v>
      </c>
      <c r="F311" s="5" t="s">
        <v>5</v>
      </c>
      <c r="G311" s="4" t="s">
        <v>60</v>
      </c>
      <c r="H311" s="4"/>
      <c r="I311" s="5" t="str">
        <f t="shared" si="30"/>
        <v>Defs</v>
      </c>
      <c r="J311" s="8" t="str">
        <f>IF(Table2[[#This Row],[!Type]]=J$1, J$1,"rg:None")</f>
        <v>rg:None</v>
      </c>
      <c r="K311" s="8" t="str">
        <f>IF(Table2[[#This Row],[!Type]]=K$1, K$1,"rg:None")</f>
        <v>rg:None</v>
      </c>
      <c r="L311" s="8" t="str">
        <f>IF(Table2[[#This Row],[!Type]]=L$1, L$1,"rg:None")</f>
        <v>datetime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effectiveDate</v>
      </c>
      <c r="V311" s="8" t="str">
        <f>IF(LEN(Table2[[#This Row],[!Description]]) &gt; 0, Table2[[#This Row],[!Description]], "rg:None")</f>
        <v>The date on which the user was given the related 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Row],[!Unique]])&gt;0,IF(Table2[[#This Row],[!Type]] = "id", "rg:None","rg:True"),"rg:None")</f>
        <v>rg:None</v>
      </c>
    </row>
    <row r="312" spans="1:25" x14ac:dyDescent="0.35">
      <c r="A312" s="5" t="s">
        <v>49</v>
      </c>
      <c r="B312" s="5" t="s">
        <v>12</v>
      </c>
      <c r="D312" s="5" t="s">
        <v>51</v>
      </c>
      <c r="E312" s="54" t="s">
        <v>328</v>
      </c>
      <c r="F312" s="5" t="s">
        <v>5</v>
      </c>
      <c r="G312" s="4"/>
      <c r="H312" s="4"/>
      <c r="I312" s="5" t="str">
        <f t="shared" si="30"/>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expiryDate</v>
      </c>
      <c r="V312" s="8" t="str">
        <f>IF(LEN(Table2[[#This Row],[!Description]]) &gt; 0, Table2[[#This Row],[!Description]], "rg:None")</f>
        <v>The date on which a role previously assigned to a user was removed from that user.</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Row],[!Unique]])&gt;0,IF(Table2[[#This Row],[!Type]] = "id", "rg:None","rg:True"),"rg:None")</f>
        <v>rg:None</v>
      </c>
    </row>
    <row r="313" spans="1:25" x14ac:dyDescent="0.35">
      <c r="A313" s="5" t="s">
        <v>49</v>
      </c>
      <c r="B313" s="5" t="s">
        <v>8</v>
      </c>
      <c r="D313" s="5" t="s">
        <v>18</v>
      </c>
      <c r="E313" s="130" t="s">
        <v>537</v>
      </c>
      <c r="F313" s="5" t="s">
        <v>52</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ref</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role</v>
      </c>
      <c r="V313" s="8" t="str">
        <f>IF(LEN(Table2[[#This Row],[!Description]]) &gt; 0, Table2[[#This Row],[!Description]], "rg:None")</f>
        <v>A foreign key reference to the system-generated unique identifier for a Role</v>
      </c>
      <c r="W313" s="8" t="str">
        <f>IF(LEN(Table2[[#This Row],[!FK]])&gt;0,Table2[[#This Row],[!FK]],"rg:None")</f>
        <v>Role</v>
      </c>
      <c r="X313" s="8" t="str">
        <f>IF(LEN(concatif2(A:A,Table2[[#This Row],[!Table]],G:G,"Y",D:D,",")) &gt; 0,"rg:[ { 'req' : '"&amp;concatif2(A:A,Table2[[#This Row],[!Table]],G:G,"Y",D:D,"' }, { 'req': '")&amp;"'} ]","rg:[]")</f>
        <v>rg:[ { 'req' : 'id' }, { 'req': 'effectiveDate'} ]</v>
      </c>
      <c r="Y313" s="8" t="str">
        <f>IF(LEN(Table2[[#This Row],[!Unique]])&gt;0,IF(Table2[[#This Row],[!Type]] = "id", "rg:None","rg:True"),"rg:None")</f>
        <v>rg:None</v>
      </c>
    </row>
    <row r="314" spans="1:25" ht="43.2" x14ac:dyDescent="0.35">
      <c r="A314" s="5" t="s">
        <v>52</v>
      </c>
      <c r="B314" s="5" t="s">
        <v>4</v>
      </c>
      <c r="D314" s="5" t="s">
        <v>52</v>
      </c>
      <c r="E314" s="76" t="s">
        <v>368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v>
      </c>
      <c r="V31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Row],[!Unique]])&gt;0,IF(Table2[[#This Row],[!Type]] = "id", "rg:None","rg:True"),"rg:None")</f>
        <v>rg:None</v>
      </c>
    </row>
    <row r="315" spans="1:25" x14ac:dyDescent="0.35">
      <c r="A315" s="5" t="s">
        <v>52</v>
      </c>
      <c r="B315" s="5" t="s">
        <v>6</v>
      </c>
      <c r="D315" s="5" t="s">
        <v>6</v>
      </c>
      <c r="E315" s="54" t="s">
        <v>329</v>
      </c>
      <c r="F315" s="5" t="s">
        <v>5</v>
      </c>
      <c r="G315" s="4" t="s">
        <v>60</v>
      </c>
      <c r="H315" s="155" t="s">
        <v>60</v>
      </c>
      <c r="I315" s="5" t="str">
        <f t="shared" si="30"/>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Row],[!Unique]])&gt;0,IF(Table2[[#This Row],[!Type]] = "id", "rg:None","rg:True"),"rg:None")</f>
        <v>rg:None</v>
      </c>
    </row>
    <row r="316" spans="1:25" x14ac:dyDescent="0.35">
      <c r="A316" s="5" t="s">
        <v>52</v>
      </c>
      <c r="B316" s="5" t="s">
        <v>7</v>
      </c>
      <c r="C316" s="5">
        <v>255</v>
      </c>
      <c r="D316" s="5" t="s">
        <v>15</v>
      </c>
      <c r="E316" s="54" t="s">
        <v>330</v>
      </c>
      <c r="F316" s="5" t="s">
        <v>5</v>
      </c>
      <c r="G316" s="4" t="s">
        <v>60</v>
      </c>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255</v>
      </c>
      <c r="U316" s="8" t="str">
        <f>IF(LEN(Table2[[#This Row],[!Name]]) &gt; 0, Table2[[#This Row],[!Name]], "rg:None")</f>
        <v>name</v>
      </c>
      <c r="V316" s="8" t="str">
        <f>IF(LEN(Table2[[#This Row],[!Description]]) &gt; 0, Table2[[#This Row],[!Description]], "rg:None")</f>
        <v>The name of the Role, as established by the user creating the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Row],[!Unique]])&gt;0,IF(Table2[[#This Row],[!Type]] = "id", "rg:None","rg:True"),"rg:None")</f>
        <v>rg:None</v>
      </c>
    </row>
    <row r="317" spans="1:25" x14ac:dyDescent="0.35">
      <c r="A317" s="5" t="s">
        <v>52</v>
      </c>
      <c r="B317" s="5" t="s">
        <v>7</v>
      </c>
      <c r="C317" s="5">
        <v>2048</v>
      </c>
      <c r="D317" s="5" t="s">
        <v>14</v>
      </c>
      <c r="E317" s="54" t="s">
        <v>331</v>
      </c>
      <c r="F317" s="5" t="s">
        <v>5</v>
      </c>
      <c r="G317" s="4" t="s">
        <v>60</v>
      </c>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2048</v>
      </c>
      <c r="U317" s="8" t="str">
        <f>IF(LEN(Table2[[#This Row],[!Name]]) &gt; 0, Table2[[#This Row],[!Name]], "rg:None")</f>
        <v>description</v>
      </c>
      <c r="V317" s="8" t="str">
        <f>IF(LEN(Table2[[#This Row],[!Description]]) &gt; 0, Table2[[#This Row],[!Description]], "rg:None")</f>
        <v>A description of the role as set by the user creating/updating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Row],[!Unique]])&gt;0,IF(Table2[[#This Row],[!Type]] = "id", "rg:None","rg:True"),"rg:None")</f>
        <v>rg:None</v>
      </c>
    </row>
    <row r="318" spans="1:25" ht="28.8" x14ac:dyDescent="0.35">
      <c r="A318" s="5" t="s">
        <v>53</v>
      </c>
      <c r="B318" s="5" t="s">
        <v>4</v>
      </c>
      <c r="D318" s="5" t="s">
        <v>53</v>
      </c>
      <c r="E318" s="76" t="s">
        <v>369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RolePermission</v>
      </c>
      <c r="V318" s="8" t="str">
        <f>IF(LEN(Table2[[#This Row],[!Description]]) &gt; 0, Table2[[#This Row],[!Description]], "rg:None")</f>
        <v>A permission that is part of a Role - a component of the authorization provided by the Role to the user to which the Role is assigned.</v>
      </c>
      <c r="W318" s="8" t="str">
        <f>IF(LEN(Table2[[#This Row],[!FK]])&gt;0,Table2[[#This Row],[!FK]],"rg:None")</f>
        <v>rg:None</v>
      </c>
      <c r="X318" s="8" t="str">
        <f>IF(LEN(concatif2(A:A,Table2[[#This Row],[!Table]],G:G,"Y",D:D,",")) &gt; 0,"rg:[ { 'req' : '"&amp;concatif2(A:A,Table2[[#This Row],[!Table]],G:G,"Y",D:D,"' }, { 'req': '")&amp;"'} ]","rg:[]")</f>
        <v>rg:[ { 'req' : 'id' }, { 'req': 'role' }, { 'req': 'permission'} ]</v>
      </c>
      <c r="Y318" s="8" t="str">
        <f>IF(LEN(Table2[[#This Row],[!Unique]])&gt;0,IF(Table2[[#This Row],[!Type]] = "id", "rg:None","rg:True"),"rg:None")</f>
        <v>rg:None</v>
      </c>
    </row>
    <row r="319" spans="1:25" x14ac:dyDescent="0.35">
      <c r="A319" s="5" t="s">
        <v>53</v>
      </c>
      <c r="B319" s="5" t="s">
        <v>6</v>
      </c>
      <c r="D319" s="5" t="s">
        <v>6</v>
      </c>
      <c r="E319" s="54" t="s">
        <v>332</v>
      </c>
      <c r="F319" s="5" t="s">
        <v>5</v>
      </c>
      <c r="G319" s="4" t="s">
        <v>60</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RolePermission</v>
      </c>
      <c r="W319" s="8" t="str">
        <f>IF(LEN(Table2[[#This Row],[!FK]])&gt;0,Table2[[#This Row],[!FK]],"rg:None")</f>
        <v>rg:None</v>
      </c>
      <c r="X319" s="8" t="str">
        <f>IF(LEN(concatif2(A:A,Table2[[#This Row],[!Table]],G:G,"Y",D:D,",")) &gt; 0,"rg:[ { 'req' : '"&amp;concatif2(A:A,Table2[[#This Row],[!Table]],G:G,"Y",D:D,"' }, { 'req': '")&amp;"'} ]","rg:[]")</f>
        <v>rg:[ { 'req' : 'id' }, { 'req': 'role' }, { 'req': 'permission'} ]</v>
      </c>
      <c r="Y319" s="8" t="str">
        <f>IF(LEN(Table2[[#This Row],[!Unique]])&gt;0,IF(Table2[[#This Row],[!Type]] = "id", "rg:None","rg:True"),"rg:None")</f>
        <v>rg:None</v>
      </c>
    </row>
    <row r="320" spans="1:25" x14ac:dyDescent="0.35">
      <c r="A320" s="5" t="s">
        <v>53</v>
      </c>
      <c r="B320" s="5" t="s">
        <v>8</v>
      </c>
      <c r="D320" s="5" t="s">
        <v>18</v>
      </c>
      <c r="F320" s="5" t="s">
        <v>52</v>
      </c>
      <c r="G320" s="155" t="s">
        <v>60</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role</v>
      </c>
      <c r="V320" s="8" t="str">
        <f>IF(LEN(Table2[[#This Row],[!Description]]) &gt; 0, Table2[[#This Row],[!Description]], "rg:None")</f>
        <v>rg:None</v>
      </c>
      <c r="W320" s="8" t="str">
        <f>IF(LEN(Table2[[#This Row],[!FK]])&gt;0,Table2[[#This Row],[!FK]],"rg:None")</f>
        <v>Role</v>
      </c>
      <c r="X320" s="8" t="str">
        <f>IF(LEN(concatif2(A:A,Table2[[#This Row],[!Table]],G:G,"Y",D:D,",")) &gt; 0,"rg:[ { 'req' : '"&amp;concatif2(A:A,Table2[[#This Row],[!Table]],G:G,"Y",D:D,"' }, { 'req': '")&amp;"'} ]","rg:[]")</f>
        <v>rg:[ { 'req' : 'id' }, { 'req': 'role' }, { 'req': 'permission'} ]</v>
      </c>
      <c r="Y320" s="8" t="str">
        <f>IF(LEN(Table2[[#This Row],[!Unique]])&gt;0,IF(Table2[[#This Row],[!Type]] = "id", "rg:None","rg:True"),"rg:None")</f>
        <v>rg:None</v>
      </c>
    </row>
    <row r="321" spans="1:25" x14ac:dyDescent="0.35">
      <c r="A321" s="5" t="s">
        <v>53</v>
      </c>
      <c r="B321" s="5" t="s">
        <v>8</v>
      </c>
      <c r="D321" s="5" t="s">
        <v>54</v>
      </c>
      <c r="E321" s="130" t="s">
        <v>538</v>
      </c>
      <c r="F321" s="5" t="s">
        <v>55</v>
      </c>
      <c r="G321" s="155" t="s">
        <v>60</v>
      </c>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permission</v>
      </c>
      <c r="V321" s="8" t="str">
        <f>IF(LEN(Table2[[#This Row],[!Description]]) &gt; 0, Table2[[#This Row],[!Description]], "rg:None")</f>
        <v>A foreign key reference to the system-generated unique identifier for a Permission</v>
      </c>
      <c r="W321" s="8" t="str">
        <f>IF(LEN(Table2[[#This Row],[!FK]])&gt;0,Table2[[#This Row],[!FK]],"rg:None")</f>
        <v>Permission</v>
      </c>
      <c r="X321" s="8" t="str">
        <f>IF(LEN(concatif2(A:A,Table2[[#This Row],[!Table]],G:G,"Y",D:D,",")) &gt; 0,"rg:[ { 'req' : '"&amp;concatif2(A:A,Table2[[#This Row],[!Table]],G:G,"Y",D:D,"' }, { 'req': '")&amp;"'} ]","rg:[]")</f>
        <v>rg:[ { 'req' : 'id' }, { 'req': 'role' }, { 'req': 'permission'} ]</v>
      </c>
      <c r="Y321" s="8" t="str">
        <f>IF(LEN(Table2[[#This Row],[!Unique]])&gt;0,IF(Table2[[#This Row],[!Type]] = "id", "rg:None","rg:True"),"rg:None")</f>
        <v>rg:None</v>
      </c>
    </row>
    <row r="322" spans="1:25" ht="72" x14ac:dyDescent="0.35">
      <c r="A322" s="5" t="s">
        <v>55</v>
      </c>
      <c r="B322" s="5" t="s">
        <v>4</v>
      </c>
      <c r="D322" s="5" t="s">
        <v>55</v>
      </c>
      <c r="E322" s="76" t="s">
        <v>370</v>
      </c>
      <c r="F322" s="5" t="s">
        <v>5</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Permission</v>
      </c>
      <c r="V32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2" s="8" t="str">
        <f>IF(LEN(Table2[[#This Row],[!FK]])&gt;0,Table2[[#This Row],[!FK]],"rg:None")</f>
        <v>rg:None</v>
      </c>
      <c r="X322" s="8" t="str">
        <f>IF(LEN(concatif2(A:A,Table2[[#This Row],[!Table]],G:G,"Y",D:D,",")) &gt; 0,"rg:[ { 'req' : '"&amp;concatif2(A:A,Table2[[#This Row],[!Table]],G:G,"Y",D:D,"' }, { 'req': '")&amp;"'} ]","rg:[]")</f>
        <v>rg:[ { 'req' : 'id' }, { 'req': 'code' }, { 'req': 'name'} ]</v>
      </c>
      <c r="Y322" s="8" t="str">
        <f>IF(LEN(Table2[[#This Row],[!Unique]])&gt;0,IF(Table2[[#This Row],[!Type]] = "id", "rg:None","rg:True"),"rg:None")</f>
        <v>rg:None</v>
      </c>
    </row>
    <row r="323" spans="1:25" x14ac:dyDescent="0.35">
      <c r="A323" s="5" t="s">
        <v>55</v>
      </c>
      <c r="B323" s="5" t="s">
        <v>6</v>
      </c>
      <c r="D323" s="5" t="s">
        <v>6</v>
      </c>
      <c r="E323" s="54" t="s">
        <v>333</v>
      </c>
      <c r="F323" s="5" t="s">
        <v>5</v>
      </c>
      <c r="G323" s="4" t="s">
        <v>60</v>
      </c>
      <c r="H323" s="155" t="s">
        <v>60</v>
      </c>
      <c r="I323" s="5" t="str">
        <f t="shared" si="30"/>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Permission</v>
      </c>
      <c r="W323" s="8" t="str">
        <f>IF(LEN(Table2[[#This Row],[!FK]])&gt;0,Table2[[#This Row],[!FK]],"rg:None")</f>
        <v>rg:None</v>
      </c>
      <c r="X323" s="8" t="str">
        <f>IF(LEN(concatif2(A:A,Table2[[#This Row],[!Table]],G:G,"Y",D:D,",")) &gt; 0,"rg:[ { 'req' : '"&amp;concatif2(A:A,Table2[[#This Row],[!Table]],G:G,"Y",D:D,"' }, { 'req': '")&amp;"'} ]","rg:[]")</f>
        <v>rg:[ { 'req' : 'id' }, { 'req': 'code' }, { 'req': 'name'} ]</v>
      </c>
      <c r="Y323" s="8" t="str">
        <f>IF(LEN(Table2[[#This Row],[!Unique]])&gt;0,IF(Table2[[#This Row],[!Type]] = "id", "rg:None","rg:True"),"rg:None")</f>
        <v>rg:None</v>
      </c>
    </row>
    <row r="324" spans="1:25" x14ac:dyDescent="0.35">
      <c r="A324" s="5" t="s">
        <v>55</v>
      </c>
      <c r="B324" s="5" t="s">
        <v>7</v>
      </c>
      <c r="C324" s="5">
        <v>50</v>
      </c>
      <c r="D324" s="5" t="s">
        <v>56</v>
      </c>
      <c r="E324" s="54" t="s">
        <v>334</v>
      </c>
      <c r="F324" s="5" t="s">
        <v>5</v>
      </c>
      <c r="G324" s="4" t="s">
        <v>60</v>
      </c>
      <c r="H324" s="155" t="s">
        <v>60</v>
      </c>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50</v>
      </c>
      <c r="U324" s="8" t="str">
        <f>IF(LEN(Table2[[#This Row],[!Name]]) &gt; 0, Table2[[#This Row],[!Name]], "rg:None")</f>
        <v>code</v>
      </c>
      <c r="V324" s="8" t="str">
        <f>IF(LEN(Table2[[#This Row],[!Description]]) &gt; 0, Table2[[#This Row],[!Description]], "rg:None")</f>
        <v>The name of the permission referenced in the software of the application.</v>
      </c>
      <c r="W324" s="8" t="str">
        <f>IF(LEN(Table2[[#This Row],[!FK]])&gt;0,Table2[[#This Row],[!FK]],"rg:None")</f>
        <v>rg:None</v>
      </c>
      <c r="X324" s="8" t="str">
        <f>IF(LEN(concatif2(A:A,Table2[[#This Row],[!Table]],G:G,"Y",D:D,",")) &gt; 0,"rg:[ { 'req' : '"&amp;concatif2(A:A,Table2[[#This Row],[!Table]],G:G,"Y",D:D,"' }, { 'req': '")&amp;"'} ]","rg:[]")</f>
        <v>rg:[ { 'req' : 'id' }, { 'req': 'code' }, { 'req': 'name'} ]</v>
      </c>
      <c r="Y324" s="8" t="str">
        <f>IF(LEN(Table2[[#This Row],[!Unique]])&gt;0,IF(Table2[[#This Row],[!Type]] = "id", "rg:None","rg:True"),"rg:None")</f>
        <v>rg:True</v>
      </c>
    </row>
    <row r="325" spans="1:25" ht="28.8" x14ac:dyDescent="0.35">
      <c r="A325" s="5" t="s">
        <v>55</v>
      </c>
      <c r="B325" s="5" t="s">
        <v>7</v>
      </c>
      <c r="C325" s="5">
        <v>150</v>
      </c>
      <c r="D325" s="5" t="s">
        <v>15</v>
      </c>
      <c r="E325" s="54" t="s">
        <v>335</v>
      </c>
      <c r="F325" s="5" t="s">
        <v>5</v>
      </c>
      <c r="G325" s="4" t="s">
        <v>60</v>
      </c>
      <c r="H325" s="155" t="s">
        <v>60</v>
      </c>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150</v>
      </c>
      <c r="U325" s="8" t="str">
        <f>IF(LEN(Table2[[#This Row],[!Name]]) &gt; 0, Table2[[#This Row],[!Name]], "rg:None")</f>
        <v>name</v>
      </c>
      <c r="V325" s="8" t="str">
        <f>IF(LEN(Table2[[#This Row],[!Description]]) &gt; 0, Table2[[#This Row],[!Description]], "rg:None")</f>
        <v>The 'user friendly' name of the permission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v>
      </c>
      <c r="Y325" s="8" t="str">
        <f>IF(LEN(Table2[[#This Row],[!Unique]])&gt;0,IF(Table2[[#This Row],[!Type]] = "id", "rg:None","rg:True"),"rg:None")</f>
        <v>rg:True</v>
      </c>
    </row>
    <row r="326" spans="1:25" ht="28.8" x14ac:dyDescent="0.35">
      <c r="A326" s="5" t="s">
        <v>55</v>
      </c>
      <c r="B326" s="5" t="s">
        <v>7</v>
      </c>
      <c r="C326" s="5">
        <v>2048</v>
      </c>
      <c r="D326" s="5" t="s">
        <v>14</v>
      </c>
      <c r="E326" s="54" t="s">
        <v>336</v>
      </c>
      <c r="F326" s="5" t="s">
        <v>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purpose of the permission and exposed to the user selecting the permissions to be included in a Role.</v>
      </c>
      <c r="W326" s="8" t="str">
        <f>IF(LEN(Table2[[#This Row],[!FK]])&gt;0,Table2[[#This Row],[!FK]],"rg:None")</f>
        <v>rg:None</v>
      </c>
      <c r="X326" s="8" t="str">
        <f>IF(LEN(concatif2(A:A,Table2[[#This Row],[!Table]],G:G,"Y",D:D,",")) &gt; 0,"rg:[ { 'req' : '"&amp;concatif2(A:A,Table2[[#This Row],[!Table]],G:G,"Y",D:D,"' }, { 'req': '")&amp;"'} ]","rg:[]")</f>
        <v>rg:[ { 'req' : 'id' }, { 'req': 'code' }, { 'req': 'name'} ]</v>
      </c>
      <c r="Y326" s="8" t="str">
        <f>IF(LEN(Table2[[#This Row],[!Unique]])&gt;0,IF(Table2[[#This Row],[!Type]] = "id", "rg:None","rg:True"),"rg:None")</f>
        <v>rg:None</v>
      </c>
    </row>
    <row r="327" spans="1:25" x14ac:dyDescent="0.35">
      <c r="A327" s="5" t="s">
        <v>57</v>
      </c>
      <c r="B327" s="5" t="s">
        <v>4</v>
      </c>
      <c r="D327" s="5" t="s">
        <v>57</v>
      </c>
      <c r="E327" s="54" t="s">
        <v>337</v>
      </c>
      <c r="F327" s="5" t="s">
        <v>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table</v>
      </c>
      <c r="T327" s="8" t="str">
        <f>IF(LEN(Table2[[#This Row],[!Length]]) &gt; 0, Table2[[#This Row],[!Length]], "rg:None")</f>
        <v>rg:None</v>
      </c>
      <c r="U327" s="8" t="str">
        <f>IF(LEN(Table2[[#This Row],[!Name]]) &gt; 0, Table2[[#This Row],[!Name]], "rg:None")</f>
        <v>GroupMembership</v>
      </c>
      <c r="V327" s="8" t="str">
        <f>IF(LEN(Table2[[#This Row],[!Description]]) &gt; 0, Table2[[#This Row],[!Description]], "rg:None")</f>
        <v>The users associated with a given group that has been defined in the application.</v>
      </c>
      <c r="W327" s="8" t="str">
        <f>IF(LEN(Table2[[#This Row],[!FK]])&gt;0,Table2[[#This Row],[!FK]],"rg:None")</f>
        <v>rg:None</v>
      </c>
      <c r="X327" s="8" t="str">
        <f>IF(LEN(concatif2(A:A,Table2[[#This Row],[!Table]],G:G,"Y",D:D,",")) &gt; 0,"rg:[ { 'req' : '"&amp;concatif2(A:A,Table2[[#This Row],[!Table]],G:G,"Y",D:D,"' }, { 'req': '")&amp;"'} ]","rg:[]")</f>
        <v>rg:[ { 'req' : 'id' }, { 'req': 'active' }, { 'req': 'group'} ]</v>
      </c>
      <c r="Y327" s="8" t="str">
        <f>IF(LEN(Table2[[#This Row],[!Unique]])&gt;0,IF(Table2[[#This Row],[!Type]] = "id", "rg:None","rg:True"),"rg:None")</f>
        <v>rg:None</v>
      </c>
    </row>
    <row r="328" spans="1:25" x14ac:dyDescent="0.35">
      <c r="A328" s="5" t="s">
        <v>57</v>
      </c>
      <c r="B328" s="5" t="s">
        <v>6</v>
      </c>
      <c r="D328" s="5" t="s">
        <v>6</v>
      </c>
      <c r="E328" s="54" t="s">
        <v>338</v>
      </c>
      <c r="F328" s="5" t="s">
        <v>5</v>
      </c>
      <c r="G328" s="4" t="s">
        <v>60</v>
      </c>
      <c r="H328" s="155" t="s">
        <v>60</v>
      </c>
      <c r="I328" s="5" t="str">
        <f t="shared" si="30"/>
        <v>Defs</v>
      </c>
      <c r="J328" s="8" t="str">
        <f>IF(Table2[[#This Row],[!Type]]=J$1, J$1,"rg:None")</f>
        <v>rg:None</v>
      </c>
      <c r="K328" s="8" t="str">
        <f>IF(Table2[[#This Row],[!Type]]=K$1, K$1,"rg:None")</f>
        <v>rg:None</v>
      </c>
      <c r="L328" s="8" t="str">
        <f>IF(Table2[[#This Row],[!Type]]=L$1, L$1,"rg:None")</f>
        <v>rg:None</v>
      </c>
      <c r="M328" s="8" t="str">
        <f>IF(Table2[[#This Row],[!Type]]=M$1, M$1,"rg:None")</f>
        <v>id</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id</v>
      </c>
      <c r="V328" s="8" t="str">
        <f>IF(LEN(Table2[[#This Row],[!Description]]) &gt; 0, Table2[[#This Row],[!Description]], "rg:None")</f>
        <v>A system-generated unique identifier for a GroupMembership</v>
      </c>
      <c r="W328" s="8" t="str">
        <f>IF(LEN(Table2[[#This Row],[!FK]])&gt;0,Table2[[#This Row],[!FK]],"rg:None")</f>
        <v>rg:None</v>
      </c>
      <c r="X328" s="8" t="str">
        <f>IF(LEN(concatif2(A:A,Table2[[#This Row],[!Table]],G:G,"Y",D:D,",")) &gt; 0,"rg:[ { 'req' : '"&amp;concatif2(A:A,Table2[[#This Row],[!Table]],G:G,"Y",D:D,"' }, { 'req': '")&amp;"'} ]","rg:[]")</f>
        <v>rg:[ { 'req' : 'id' }, { 'req': 'active' }, { 'req': 'group'} ]</v>
      </c>
      <c r="Y328" s="8" t="str">
        <f>IF(LEN(Table2[[#This Row],[!Unique]])&gt;0,IF(Table2[[#This Row],[!Type]] = "id", "rg:None","rg:True"),"rg:None")</f>
        <v>rg:None</v>
      </c>
    </row>
    <row r="329" spans="1:25" ht="28.8" x14ac:dyDescent="0.35">
      <c r="A329" s="5" t="s">
        <v>57</v>
      </c>
      <c r="B329" s="5" t="s">
        <v>9</v>
      </c>
      <c r="D329" s="5" t="s">
        <v>40</v>
      </c>
      <c r="E329" s="54" t="s">
        <v>339</v>
      </c>
      <c r="F329" s="5" t="s">
        <v>5</v>
      </c>
      <c r="G329" s="4" t="s">
        <v>60</v>
      </c>
      <c r="H329" s="4"/>
      <c r="I329" s="5" t="str">
        <f t="shared" si="30"/>
        <v>Defs</v>
      </c>
      <c r="J329" s="8" t="str">
        <f>IF(Table2[[#This Row],[!Type]]=J$1, J$1,"rg:None")</f>
        <v>boolean</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active</v>
      </c>
      <c r="V329" s="8" t="str">
        <f>IF(LEN(Table2[[#This Row],[!Description]]) &gt; 0, Table2[[#This Row],[!Description]], "rg:None")</f>
        <v>A flag indicating the User is active in the group. Set false to remove the user from the designated group.</v>
      </c>
      <c r="W329" s="8" t="str">
        <f>IF(LEN(Table2[[#This Row],[!FK]])&gt;0,Table2[[#This Row],[!FK]],"rg:None")</f>
        <v>rg:None</v>
      </c>
      <c r="X329" s="8" t="str">
        <f>IF(LEN(concatif2(A:A,Table2[[#This Row],[!Table]],G:G,"Y",D:D,",")) &gt; 0,"rg:[ { 'req' : '"&amp;concatif2(A:A,Table2[[#This Row],[!Table]],G:G,"Y",D:D,"' }, { 'req': '")&amp;"'} ]","rg:[]")</f>
        <v>rg:[ { 'req' : 'id' }, { 'req': 'active' }, { 'req': 'group'} ]</v>
      </c>
      <c r="Y329" s="8" t="str">
        <f>IF(LEN(Table2[[#This Row],[!Unique]])&gt;0,IF(Table2[[#This Row],[!Type]] = "id", "rg:None","rg:True"),"rg:None")</f>
        <v>rg:None</v>
      </c>
    </row>
    <row r="330" spans="1:25" x14ac:dyDescent="0.35">
      <c r="A330" s="5" t="s">
        <v>57</v>
      </c>
      <c r="B330" s="5" t="s">
        <v>8</v>
      </c>
      <c r="D330" s="5" t="s">
        <v>58</v>
      </c>
      <c r="E330" s="130" t="s">
        <v>539</v>
      </c>
      <c r="F330" s="5" t="s">
        <v>59</v>
      </c>
      <c r="G330" s="155" t="s">
        <v>60</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group</v>
      </c>
      <c r="V330" s="8" t="str">
        <f>IF(LEN(Table2[[#This Row],[!Description]]) &gt; 0, Table2[[#This Row],[!Description]], "rg:None")</f>
        <v>A foreign key reference to the system-generated unique identifier for a Group</v>
      </c>
      <c r="W330" s="8" t="str">
        <f>IF(LEN(Table2[[#This Row],[!FK]])&gt;0,Table2[[#This Row],[!FK]],"rg:None")</f>
        <v>Group</v>
      </c>
      <c r="X330" s="8" t="str">
        <f>IF(LEN(concatif2(A:A,Table2[[#This Row],[!Table]],G:G,"Y",D:D,",")) &gt; 0,"rg:[ { 'req' : '"&amp;concatif2(A:A,Table2[[#This Row],[!Table]],G:G,"Y",D:D,"' }, { 'req': '")&amp;"'} ]","rg:[]")</f>
        <v>rg:[ { 'req' : 'id' }, { 'req': 'active' }, { 'req': 'group'} ]</v>
      </c>
      <c r="Y330" s="8" t="str">
        <f>IF(LEN(Table2[[#This Row],[!Unique]])&gt;0,IF(Table2[[#This Row],[!Type]] = "id", "rg:None","rg:True"),"rg:None")</f>
        <v>rg:None</v>
      </c>
    </row>
    <row r="331" spans="1:25" ht="43.2" x14ac:dyDescent="0.35">
      <c r="A331" s="5" t="s">
        <v>59</v>
      </c>
      <c r="B331" s="5" t="s">
        <v>4</v>
      </c>
      <c r="D331" s="5" t="s">
        <v>59</v>
      </c>
      <c r="E331" s="76" t="s">
        <v>371</v>
      </c>
      <c r="F331" s="5" t="s">
        <v>5</v>
      </c>
      <c r="G331" s="4"/>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5">
      <c r="A332" s="5" t="s">
        <v>59</v>
      </c>
      <c r="B332" s="5" t="s">
        <v>6</v>
      </c>
      <c r="D332" s="5" t="s">
        <v>6</v>
      </c>
      <c r="E332" s="54" t="s">
        <v>340</v>
      </c>
      <c r="F332" s="5" t="s">
        <v>5</v>
      </c>
      <c r="G332" s="4" t="s">
        <v>60</v>
      </c>
      <c r="H332" s="155" t="s">
        <v>60</v>
      </c>
      <c r="I332" s="5" t="str">
        <f t="shared" si="30"/>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5">
      <c r="A333" s="5" t="s">
        <v>59</v>
      </c>
      <c r="B333" s="5" t="s">
        <v>7</v>
      </c>
      <c r="C333" s="5">
        <v>150</v>
      </c>
      <c r="D333" s="5" t="s">
        <v>15</v>
      </c>
      <c r="E333" s="54" t="s">
        <v>341</v>
      </c>
      <c r="F333" s="5" t="s">
        <v>5</v>
      </c>
      <c r="G333" s="4" t="s">
        <v>60</v>
      </c>
      <c r="H333" s="155" t="s">
        <v>60</v>
      </c>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rg:True</v>
      </c>
    </row>
    <row r="334" spans="1:25" ht="28.8" x14ac:dyDescent="0.35">
      <c r="A334" s="5" t="s">
        <v>59</v>
      </c>
      <c r="B334" s="5" t="s">
        <v>7</v>
      </c>
      <c r="C334" s="5">
        <v>2048</v>
      </c>
      <c r="D334" s="5" t="s">
        <v>14</v>
      </c>
      <c r="E334" s="54" t="s">
        <v>342</v>
      </c>
      <c r="F334" s="5" t="s">
        <v>5</v>
      </c>
      <c r="G334" s="4" t="s">
        <v>60</v>
      </c>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5">
      <c r="A335" s="161" t="s">
        <v>586</v>
      </c>
      <c r="B335" s="161" t="s">
        <v>4</v>
      </c>
      <c r="C335" s="72"/>
      <c r="D335" s="161" t="s">
        <v>586</v>
      </c>
      <c r="E335" s="47"/>
      <c r="F335" s="12"/>
      <c r="G335" s="18"/>
      <c r="H335" s="18"/>
      <c r="I335" s="4" t="str">
        <f t="shared" ref="I335:I340" si="31">IF(LEN(A335) &gt; 0,"Defs","-")</f>
        <v>Defs</v>
      </c>
      <c r="J335" s="14" t="str">
        <f>IF(Table2[[#This Row],[!Type]]=J$1, J$1,"rg:None")</f>
        <v>rg:None</v>
      </c>
      <c r="K335" s="14" t="str">
        <f>IF(Table2[[#This Row],[!Type]]=K$1, K$1,"rg:None")</f>
        <v>rg:None</v>
      </c>
      <c r="L335" s="14" t="str">
        <f>IF(Table2[[#This Row],[!Type]]=L$1, L$1,"rg:None")</f>
        <v>rg:None</v>
      </c>
      <c r="M335" s="14" t="str">
        <f>IF(Table2[[#This Row],[!Type]]=M$1, M$1,"rg:None")</f>
        <v>rg:None</v>
      </c>
      <c r="N335" s="14" t="str">
        <f>IF(Table2[[#This Row],[!Type]]=N$1, N$1,"rg:None")</f>
        <v>rg:None</v>
      </c>
      <c r="O335" s="14" t="str">
        <f>IF(Table2[[#This Row],[!Type]]=O$1, O$1,"rg:None")</f>
        <v>rg:None</v>
      </c>
      <c r="P335" s="4" t="str">
        <f>IF(Table2[[#This Row],[!Type]]=P$1, P$1,"rg:None")</f>
        <v>rg:None</v>
      </c>
      <c r="Q335" s="4" t="str">
        <f>IF(Table2[[#This Row],[!Type]]=Q$1, Q$1,"rg:None")</f>
        <v>rg:None</v>
      </c>
      <c r="R335" s="4" t="str">
        <f>IF(Table2[[#This Row],[!Type]]=R$1, R$1,"rg:None")</f>
        <v>rg:None</v>
      </c>
      <c r="S335" s="4" t="str">
        <f>IF(Table2[[#This Row],[!Type]]=S$1, S$1,"rg:None")</f>
        <v>table</v>
      </c>
      <c r="T335" s="14" t="str">
        <f>IF(LEN(Table2[[#This Row],[!Length]]) &gt; 0, Table2[[#This Row],[!Length]], "rg:None")</f>
        <v>rg:None</v>
      </c>
      <c r="U335" s="14" t="str">
        <f>IF(LEN(Table2[[#This Row],[!Name]]) &gt; 0, Table2[[#This Row],[!Name]], "rg:None")</f>
        <v>ImportMap</v>
      </c>
      <c r="V335" s="14" t="str">
        <f>IF(LEN(Table2[[#This Row],[!Description]]) &gt; 0, Table2[[#This Row],[!Description]], "rg:None")</f>
        <v>rg:None</v>
      </c>
      <c r="W335" s="14" t="str">
        <f>IF(LEN(Table2[[#This Row],[!FK]])&gt;0,Table2[[#This Row],[!FK]],"rg:None")</f>
        <v>rg:None</v>
      </c>
      <c r="X335" s="14" t="str">
        <f>IF(LEN(concatif2(A:A,Table2[[#This Row],[!Table]],G:G,"Y",D:D,",")) &gt; 0,"rg:[ { 'req' : '"&amp;concatif2(A:A,Table2[[#This Row],[!Table]],G:G,"Y",D:D,"' }, { 'req': '")&amp;"'} ]","rg:[]")</f>
        <v>rg:[ { 'req' : 'id' }, { 'req': 'oldTable' }, { 'req': 'newTable' }, { 'req': 'oldKey' }, { 'req': 'newKey'} ]</v>
      </c>
      <c r="Y335" s="14" t="str">
        <f>IF(LEN(Table2[[#This Row],[!Unique]])&gt;0,IF(Table2[[#This Row],[!Type]] = "id", "rg:None","rg:True"),"rg:None")</f>
        <v>rg:None</v>
      </c>
    </row>
    <row r="336" spans="1:25" x14ac:dyDescent="0.35">
      <c r="A336" s="161" t="s">
        <v>586</v>
      </c>
      <c r="B336" s="161" t="s">
        <v>6</v>
      </c>
      <c r="C336" s="72"/>
      <c r="D336" s="161" t="s">
        <v>6</v>
      </c>
      <c r="E336" s="164" t="s">
        <v>588</v>
      </c>
      <c r="F336" s="12"/>
      <c r="G336" s="165" t="s">
        <v>60</v>
      </c>
      <c r="H336" s="165" t="s">
        <v>60</v>
      </c>
      <c r="I336" s="4" t="str">
        <f t="shared" si="31"/>
        <v>Defs</v>
      </c>
      <c r="J336" s="14" t="str">
        <f>IF(Table2[[#This Row],[!Type]]=J$1, J$1,"rg:None")</f>
        <v>rg:None</v>
      </c>
      <c r="K336" s="14" t="str">
        <f>IF(Table2[[#This Row],[!Type]]=K$1, K$1,"rg:None")</f>
        <v>rg:None</v>
      </c>
      <c r="L336" s="14" t="str">
        <f>IF(Table2[[#This Row],[!Type]]=L$1, L$1,"rg:None")</f>
        <v>rg:None</v>
      </c>
      <c r="M336" s="14" t="str">
        <f>IF(Table2[[#This Row],[!Type]]=M$1, M$1,"rg:None")</f>
        <v>id</v>
      </c>
      <c r="N336" s="14" t="str">
        <f>IF(Table2[[#This Row],[!Type]]=N$1, N$1,"rg:None")</f>
        <v>rg:None</v>
      </c>
      <c r="O336" s="14" t="str">
        <f>IF(Table2[[#This Row],[!Type]]=O$1, O$1,"rg:None")</f>
        <v>rg:None</v>
      </c>
      <c r="P336" s="4" t="str">
        <f>IF(Table2[[#This Row],[!Type]]=P$1, P$1,"rg:None")</f>
        <v>rg:None</v>
      </c>
      <c r="Q336" s="4" t="str">
        <f>IF(Table2[[#This Row],[!Type]]=Q$1, Q$1,"rg:None")</f>
        <v>rg:None</v>
      </c>
      <c r="R336" s="4" t="str">
        <f>IF(Table2[[#This Row],[!Type]]=R$1, R$1,"rg:None")</f>
        <v>rg:None</v>
      </c>
      <c r="S336" s="4" t="str">
        <f>IF(Table2[[#This Row],[!Type]]=S$1, S$1,"rg:None")</f>
        <v>rg:None</v>
      </c>
      <c r="T336" s="14" t="str">
        <f>IF(LEN(Table2[[#This Row],[!Length]]) &gt; 0, Table2[[#This Row],[!Length]], "rg:None")</f>
        <v>rg:None</v>
      </c>
      <c r="U336" s="14" t="str">
        <f>IF(LEN(Table2[[#This Row],[!Name]]) &gt; 0, Table2[[#This Row],[!Name]], "rg:None")</f>
        <v>id</v>
      </c>
      <c r="V336" s="14" t="str">
        <f>IF(LEN(Table2[[#This Row],[!Description]]) &gt; 0, Table2[[#This Row],[!Description]], "rg:None")</f>
        <v>A system generated unique identifier for the ImportMap</v>
      </c>
      <c r="W336" s="14" t="str">
        <f>IF(LEN(Table2[[#This Row],[!FK]])&gt;0,Table2[[#This Row],[!FK]],"rg:None")</f>
        <v>rg:None</v>
      </c>
      <c r="X336" s="14" t="str">
        <f>IF(LEN(concatif2(A:A,Table2[[#This Row],[!Table]],G:G,"Y",D:D,",")) &gt; 0,"rg:[ { 'req' : '"&amp;concatif2(A:A,Table2[[#This Row],[!Table]],G:G,"Y",D:D,"' }, { 'req': '")&amp;"'} ]","rg:[]")</f>
        <v>rg:[ { 'req' : 'id' }, { 'req': 'oldTable' }, { 'req': 'newTable' }, { 'req': 'oldKey' }, { 'req': 'newKey'} ]</v>
      </c>
      <c r="Y336" s="14" t="str">
        <f>IF(LEN(Table2[[#This Row],[!Unique]])&gt;0,IF(Table2[[#This Row],[!Type]] = "id", "rg:None","rg:True"),"rg:None")</f>
        <v>rg:None</v>
      </c>
    </row>
    <row r="337" spans="1:25" x14ac:dyDescent="0.35">
      <c r="A337" s="161" t="s">
        <v>586</v>
      </c>
      <c r="B337" s="161" t="s">
        <v>7</v>
      </c>
      <c r="C337" s="72"/>
      <c r="D337" s="161" t="s">
        <v>587</v>
      </c>
      <c r="E337" s="164" t="s">
        <v>589</v>
      </c>
      <c r="F337" s="12"/>
      <c r="G337" s="165" t="s">
        <v>60</v>
      </c>
      <c r="H337" s="18"/>
      <c r="I337" s="4" t="str">
        <f t="shared" si="31"/>
        <v>Defs</v>
      </c>
      <c r="J337" s="14" t="str">
        <f>IF(Table2[[#This Row],[!Type]]=J$1, J$1,"rg:None")</f>
        <v>rg:None</v>
      </c>
      <c r="K337" s="14" t="str">
        <f>IF(Table2[[#This Row],[!Type]]=K$1, K$1,"rg:None")</f>
        <v>rg:None</v>
      </c>
      <c r="L337" s="14" t="str">
        <f>IF(Table2[[#This Row],[!Type]]=L$1, L$1,"rg:None")</f>
        <v>rg:None</v>
      </c>
      <c r="M337" s="14" t="str">
        <f>IF(Table2[[#This Row],[!Type]]=M$1, M$1,"rg:None")</f>
        <v>rg:None</v>
      </c>
      <c r="N337" s="14" t="str">
        <f>IF(Table2[[#This Row],[!Type]]=N$1, N$1,"rg:None")</f>
        <v>rg:None</v>
      </c>
      <c r="O337" s="14" t="str">
        <f>IF(Table2[[#This Row],[!Type]]=O$1, O$1,"rg:None")</f>
        <v>rg:None</v>
      </c>
      <c r="P337" s="4" t="str">
        <f>IF(Table2[[#This Row],[!Type]]=P$1, P$1,"rg:None")</f>
        <v>rg:None</v>
      </c>
      <c r="Q337" s="4" t="str">
        <f>IF(Table2[[#This Row],[!Type]]=Q$1, Q$1,"rg:None")</f>
        <v>rg:None</v>
      </c>
      <c r="R337" s="4" t="str">
        <f>IF(Table2[[#This Row],[!Type]]=R$1, R$1,"rg:None")</f>
        <v>string</v>
      </c>
      <c r="S337" s="4" t="str">
        <f>IF(Table2[[#This Row],[!Type]]=S$1, S$1,"rg:None")</f>
        <v>rg:None</v>
      </c>
      <c r="T337" s="14" t="str">
        <f>IF(LEN(Table2[[#This Row],[!Length]]) &gt; 0, Table2[[#This Row],[!Length]], "rg:None")</f>
        <v>rg:None</v>
      </c>
      <c r="U337" s="14" t="str">
        <f>IF(LEN(Table2[[#This Row],[!Name]]) &gt; 0, Table2[[#This Row],[!Name]], "rg:None")</f>
        <v>oldTable</v>
      </c>
      <c r="V337" s="14" t="str">
        <f>IF(LEN(Table2[[#This Row],[!Description]]) &gt; 0, Table2[[#This Row],[!Description]], "rg:None")</f>
        <v>Table name in old system</v>
      </c>
      <c r="W337" s="14" t="str">
        <f>IF(LEN(Table2[[#This Row],[!FK]])&gt;0,Table2[[#This Row],[!FK]],"rg:None")</f>
        <v>rg:None</v>
      </c>
      <c r="X337" s="14" t="str">
        <f>IF(LEN(concatif2(A:A,Table2[[#This Row],[!Table]],G:G,"Y",D:D,",")) &gt; 0,"rg:[ { 'req' : '"&amp;concatif2(A:A,Table2[[#This Row],[!Table]],G:G,"Y",D:D,"' }, { 'req': '")&amp;"'} ]","rg:[]")</f>
        <v>rg:[ { 'req' : 'id' }, { 'req': 'oldTable' }, { 'req': 'newTable' }, { 'req': 'oldKey' }, { 'req': 'newKey'} ]</v>
      </c>
      <c r="Y337" s="14" t="str">
        <f>IF(LEN(Table2[[#This Row],[!Unique]])&gt;0,IF(Table2[[#This Row],[!Type]] = "id", "rg:None","rg:True"),"rg:None")</f>
        <v>rg:None</v>
      </c>
    </row>
    <row r="338" spans="1:25" x14ac:dyDescent="0.35">
      <c r="A338" s="161" t="s">
        <v>586</v>
      </c>
      <c r="B338" s="161" t="s">
        <v>7</v>
      </c>
      <c r="C338" s="72"/>
      <c r="D338" s="161" t="s">
        <v>590</v>
      </c>
      <c r="E338" s="164" t="s">
        <v>591</v>
      </c>
      <c r="F338" s="12"/>
      <c r="G338" s="165" t="s">
        <v>60</v>
      </c>
      <c r="H338" s="18"/>
      <c r="I338" s="4" t="str">
        <f t="shared" si="31"/>
        <v>Defs</v>
      </c>
      <c r="J338" s="14" t="str">
        <f>IF(Table2[[#This Row],[!Type]]=J$1, J$1,"rg:None")</f>
        <v>rg:None</v>
      </c>
      <c r="K338" s="14" t="str">
        <f>IF(Table2[[#This Row],[!Type]]=K$1, K$1,"rg:None")</f>
        <v>rg:None</v>
      </c>
      <c r="L338" s="14" t="str">
        <f>IF(Table2[[#This Row],[!Type]]=L$1, L$1,"rg:None")</f>
        <v>rg:None</v>
      </c>
      <c r="M338" s="14" t="str">
        <f>IF(Table2[[#This Row],[!Type]]=M$1, M$1,"rg:None")</f>
        <v>rg:None</v>
      </c>
      <c r="N338" s="14" t="str">
        <f>IF(Table2[[#This Row],[!Type]]=N$1, N$1,"rg:None")</f>
        <v>rg:None</v>
      </c>
      <c r="O338" s="14" t="str">
        <f>IF(Table2[[#This Row],[!Type]]=O$1, O$1,"rg:None")</f>
        <v>rg:None</v>
      </c>
      <c r="P338" s="4" t="str">
        <f>IF(Table2[[#This Row],[!Type]]=P$1, P$1,"rg:None")</f>
        <v>rg:None</v>
      </c>
      <c r="Q338" s="4" t="str">
        <f>IF(Table2[[#This Row],[!Type]]=Q$1, Q$1,"rg:None")</f>
        <v>rg:None</v>
      </c>
      <c r="R338" s="4" t="str">
        <f>IF(Table2[[#This Row],[!Type]]=R$1, R$1,"rg:None")</f>
        <v>string</v>
      </c>
      <c r="S338" s="4" t="str">
        <f>IF(Table2[[#This Row],[!Type]]=S$1, S$1,"rg:None")</f>
        <v>rg:None</v>
      </c>
      <c r="T338" s="14" t="str">
        <f>IF(LEN(Table2[[#This Row],[!Length]]) &gt; 0, Table2[[#This Row],[!Length]], "rg:None")</f>
        <v>rg:None</v>
      </c>
      <c r="U338" s="14" t="str">
        <f>IF(LEN(Table2[[#This Row],[!Name]]) &gt; 0, Table2[[#This Row],[!Name]], "rg:None")</f>
        <v>newTable</v>
      </c>
      <c r="V338" s="14" t="str">
        <f>IF(LEN(Table2[[#This Row],[!Description]]) &gt; 0, Table2[[#This Row],[!Description]], "rg:None")</f>
        <v>Table name in new system.</v>
      </c>
      <c r="W338" s="14" t="str">
        <f>IF(LEN(Table2[[#This Row],[!FK]])&gt;0,Table2[[#This Row],[!FK]],"rg:None")</f>
        <v>rg:None</v>
      </c>
      <c r="X338" s="14" t="str">
        <f>IF(LEN(concatif2(A:A,Table2[[#This Row],[!Table]],G:G,"Y",D:D,",")) &gt; 0,"rg:[ { 'req' : '"&amp;concatif2(A:A,Table2[[#This Row],[!Table]],G:G,"Y",D:D,"' }, { 'req': '")&amp;"'} ]","rg:[]")</f>
        <v>rg:[ { 'req' : 'id' }, { 'req': 'oldTable' }, { 'req': 'newTable' }, { 'req': 'oldKey' }, { 'req': 'newKey'} ]</v>
      </c>
      <c r="Y338" s="14" t="str">
        <f>IF(LEN(Table2[[#This Row],[!Unique]])&gt;0,IF(Table2[[#This Row],[!Type]] = "id", "rg:None","rg:True"),"rg:None")</f>
        <v>rg:None</v>
      </c>
    </row>
    <row r="339" spans="1:25" x14ac:dyDescent="0.35">
      <c r="A339" s="161" t="s">
        <v>586</v>
      </c>
      <c r="B339" s="168" t="s">
        <v>7</v>
      </c>
      <c r="C339" s="72">
        <v>150</v>
      </c>
      <c r="D339" s="161" t="s">
        <v>592</v>
      </c>
      <c r="E339" s="164" t="s">
        <v>593</v>
      </c>
      <c r="F339" s="12"/>
      <c r="G339" s="165" t="s">
        <v>60</v>
      </c>
      <c r="H339" s="18"/>
      <c r="I339" s="4" t="str">
        <f t="shared" si="31"/>
        <v>Defs</v>
      </c>
      <c r="J339" s="14" t="str">
        <f>IF(Table2[[#This Row],[!Type]]=J$1, J$1,"rg:None")</f>
        <v>rg:None</v>
      </c>
      <c r="K339" s="14" t="str">
        <f>IF(Table2[[#This Row],[!Type]]=K$1, K$1,"rg:None")</f>
        <v>rg:None</v>
      </c>
      <c r="L339" s="14" t="str">
        <f>IF(Table2[[#This Row],[!Type]]=L$1, L$1,"rg:None")</f>
        <v>rg:None</v>
      </c>
      <c r="M339" s="14" t="str">
        <f>IF(Table2[[#This Row],[!Type]]=M$1, M$1,"rg:None")</f>
        <v>rg:None</v>
      </c>
      <c r="N339" s="14" t="str">
        <f>IF(Table2[[#This Row],[!Type]]=N$1, N$1,"rg:None")</f>
        <v>rg:None</v>
      </c>
      <c r="O339" s="14" t="str">
        <f>IF(Table2[[#This Row],[!Type]]=O$1, O$1,"rg:None")</f>
        <v>rg:None</v>
      </c>
      <c r="P339" s="4" t="str">
        <f>IF(Table2[[#This Row],[!Type]]=P$1, P$1,"rg:None")</f>
        <v>rg:None</v>
      </c>
      <c r="Q339" s="4" t="str">
        <f>IF(Table2[[#This Row],[!Type]]=Q$1, Q$1,"rg:None")</f>
        <v>rg:None</v>
      </c>
      <c r="R339" s="4" t="str">
        <f>IF(Table2[[#This Row],[!Type]]=R$1, R$1,"rg:None")</f>
        <v>string</v>
      </c>
      <c r="S339" s="4" t="str">
        <f>IF(Table2[[#This Row],[!Type]]=S$1, S$1,"rg:None")</f>
        <v>rg:None</v>
      </c>
      <c r="T339" s="14">
        <f>IF(LEN(Table2[[#This Row],[!Length]]) &gt; 0, Table2[[#This Row],[!Length]], "rg:None")</f>
        <v>150</v>
      </c>
      <c r="U339" s="14" t="str">
        <f>IF(LEN(Table2[[#This Row],[!Name]]) &gt; 0, Table2[[#This Row],[!Name]], "rg:None")</f>
        <v>oldKey</v>
      </c>
      <c r="V339" s="14" t="str">
        <f>IF(LEN(Table2[[#This Row],[!Description]]) &gt; 0, Table2[[#This Row],[!Description]], "rg:None")</f>
        <v>Old primary key for record</v>
      </c>
      <c r="W339" s="14" t="str">
        <f>IF(LEN(Table2[[#This Row],[!FK]])&gt;0,Table2[[#This Row],[!FK]],"rg:None")</f>
        <v>rg:None</v>
      </c>
      <c r="X339" s="14" t="str">
        <f>IF(LEN(concatif2(A:A,Table2[[#This Row],[!Table]],G:G,"Y",D:D,",")) &gt; 0,"rg:[ { 'req' : '"&amp;concatif2(A:A,Table2[[#This Row],[!Table]],G:G,"Y",D:D,"' }, { 'req': '")&amp;"'} ]","rg:[]")</f>
        <v>rg:[ { 'req' : 'id' }, { 'req': 'oldTable' }, { 'req': 'newTable' }, { 'req': 'oldKey' }, { 'req': 'newKey'} ]</v>
      </c>
      <c r="Y339" s="14" t="str">
        <f>IF(LEN(Table2[[#This Row],[!Unique]])&gt;0,IF(Table2[[#This Row],[!Type]] = "id", "rg:None","rg:True"),"rg:None")</f>
        <v>rg:None</v>
      </c>
    </row>
    <row r="340" spans="1:25" x14ac:dyDescent="0.35">
      <c r="A340" s="161" t="s">
        <v>586</v>
      </c>
      <c r="B340" s="161" t="s">
        <v>13</v>
      </c>
      <c r="C340" s="72"/>
      <c r="D340" s="161" t="s">
        <v>594</v>
      </c>
      <c r="E340" s="164" t="s">
        <v>595</v>
      </c>
      <c r="F340" s="12"/>
      <c r="G340" s="165" t="s">
        <v>60</v>
      </c>
      <c r="H340" s="18"/>
      <c r="I340" s="4" t="str">
        <f t="shared" si="31"/>
        <v>Defs</v>
      </c>
      <c r="J340" s="14" t="str">
        <f>IF(Table2[[#This Row],[!Type]]=J$1, J$1,"rg:None")</f>
        <v>rg:None</v>
      </c>
      <c r="K340" s="14" t="str">
        <f>IF(Table2[[#This Row],[!Type]]=K$1, K$1,"rg:None")</f>
        <v>rg:None</v>
      </c>
      <c r="L340" s="14" t="str">
        <f>IF(Table2[[#This Row],[!Type]]=L$1, L$1,"rg:None")</f>
        <v>rg:None</v>
      </c>
      <c r="M340" s="14" t="str">
        <f>IF(Table2[[#This Row],[!Type]]=M$1, M$1,"rg:None")</f>
        <v>rg:None</v>
      </c>
      <c r="N340" s="14" t="str">
        <f>IF(Table2[[#This Row],[!Type]]=N$1, N$1,"rg:None")</f>
        <v>integer</v>
      </c>
      <c r="O340" s="14" t="str">
        <f>IF(Table2[[#This Row],[!Type]]=O$1, O$1,"rg:None")</f>
        <v>rg:None</v>
      </c>
      <c r="P340" s="4" t="str">
        <f>IF(Table2[[#This Row],[!Type]]=P$1, P$1,"rg:None")</f>
        <v>rg:None</v>
      </c>
      <c r="Q340" s="4" t="str">
        <f>IF(Table2[[#This Row],[!Type]]=Q$1, Q$1,"rg:None")</f>
        <v>rg:None</v>
      </c>
      <c r="R340" s="4" t="str">
        <f>IF(Table2[[#This Row],[!Type]]=R$1, R$1,"rg:None")</f>
        <v>rg:None</v>
      </c>
      <c r="S340" s="4" t="str">
        <f>IF(Table2[[#This Row],[!Type]]=S$1, S$1,"rg:None")</f>
        <v>rg:None</v>
      </c>
      <c r="T340" s="14" t="str">
        <f>IF(LEN(Table2[[#This Row],[!Length]]) &gt; 0, Table2[[#This Row],[!Length]], "rg:None")</f>
        <v>rg:None</v>
      </c>
      <c r="U340" s="14" t="str">
        <f>IF(LEN(Table2[[#This Row],[!Name]]) &gt; 0, Table2[[#This Row],[!Name]], "rg:None")</f>
        <v>newKey</v>
      </c>
      <c r="V340" s="14" t="str">
        <f>IF(LEN(Table2[[#This Row],[!Description]]) &gt; 0, Table2[[#This Row],[!Description]], "rg:None")</f>
        <v>New primary key for record</v>
      </c>
      <c r="W340" s="14" t="str">
        <f>IF(LEN(Table2[[#This Row],[!FK]])&gt;0,Table2[[#This Row],[!FK]],"rg:None")</f>
        <v>rg:None</v>
      </c>
      <c r="X340" s="14" t="str">
        <f>IF(LEN(concatif2(A:A,Table2[[#This Row],[!Table]],G:G,"Y",D:D,",")) &gt; 0,"rg:[ { 'req' : '"&amp;concatif2(A:A,Table2[[#This Row],[!Table]],G:G,"Y",D:D,"' }, { 'req': '")&amp;"'} ]","rg:[]")</f>
        <v>rg:[ { 'req' : 'id' }, { 'req': 'oldTable' }, { 'req': 'newTable' }, { 'req': 'oldKey' }, { 'req': 'newKey'} ]</v>
      </c>
      <c r="Y340" s="14" t="str">
        <f>IF(LEN(Table2[[#This Row],[!Unique]])&gt;0,IF(Table2[[#This Row],[!Type]] = "id", "rg:None","rg:True"),"rg:None")</f>
        <v>rg:None</v>
      </c>
    </row>
    <row r="341" spans="1:25" x14ac:dyDescent="0.35">
      <c r="A341" s="162" t="s">
        <v>454</v>
      </c>
      <c r="B341" s="162"/>
      <c r="C341" s="162"/>
      <c r="D341" s="162"/>
      <c r="E341" s="163"/>
      <c r="F341" s="163"/>
      <c r="G341" s="162"/>
      <c r="H341" s="162"/>
      <c r="I341" s="8"/>
      <c r="J341" s="8"/>
      <c r="K341" s="8"/>
      <c r="L341" s="8"/>
      <c r="M341" s="8"/>
      <c r="N341" s="8"/>
      <c r="O341" s="8"/>
      <c r="P341" s="8"/>
      <c r="Q341" s="8"/>
      <c r="R341" s="8"/>
      <c r="S341" s="8"/>
      <c r="T341" s="8"/>
      <c r="U341" s="8"/>
      <c r="V341" s="8"/>
      <c r="W341" s="8"/>
      <c r="Y341" s="8">
        <f>SUBTOTAL(103,Table2[Unique])</f>
        <v>339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7265625" defaultRowHeight="16.100000000000001" x14ac:dyDescent="0.35"/>
  <cols>
    <col min="1" max="1" width="25.1796875" style="5" customWidth="1"/>
    <col min="2" max="2" width="26.6328125" style="5" customWidth="1"/>
    <col min="3" max="3" width="25.7265625" style="5" bestFit="1" customWidth="1"/>
    <col min="4" max="5" width="33.453125" style="6" customWidth="1"/>
    <col min="6" max="6" width="19.36328125" style="6" customWidth="1"/>
    <col min="7" max="7" width="33.453125" style="6" customWidth="1"/>
    <col min="8" max="8" width="8.7265625" customWidth="1"/>
    <col min="9" max="21" width="8.7265625" style="5" customWidth="1"/>
    <col min="22" max="16384" width="8.7265625" style="5"/>
  </cols>
  <sheetData>
    <row r="1" spans="1:22" s="1" customFormat="1" ht="14.4" x14ac:dyDescent="0.35">
      <c r="A1" s="1" t="s">
        <v>81</v>
      </c>
      <c r="B1" s="1" t="s">
        <v>82</v>
      </c>
      <c r="C1" s="1" t="s">
        <v>83</v>
      </c>
      <c r="D1" s="1" t="s">
        <v>84</v>
      </c>
      <c r="E1" s="1" t="s">
        <v>582</v>
      </c>
      <c r="F1" s="2" t="s">
        <v>85</v>
      </c>
      <c r="G1" s="1" t="s">
        <v>86</v>
      </c>
      <c r="H1" s="9" t="s">
        <v>63</v>
      </c>
      <c r="I1" s="9" t="s">
        <v>73</v>
      </c>
      <c r="J1" s="9" t="s">
        <v>74</v>
      </c>
      <c r="K1" s="9" t="s">
        <v>75</v>
      </c>
      <c r="L1" s="9" t="s">
        <v>76</v>
      </c>
      <c r="M1" s="9" t="s">
        <v>77</v>
      </c>
      <c r="N1" s="9" t="s">
        <v>78</v>
      </c>
      <c r="O1" s="9" t="s">
        <v>79</v>
      </c>
      <c r="P1" s="9" t="s">
        <v>80</v>
      </c>
      <c r="Q1" s="9" t="s">
        <v>69</v>
      </c>
      <c r="R1" s="9" t="s">
        <v>70</v>
      </c>
      <c r="S1" s="9" t="s">
        <v>71</v>
      </c>
      <c r="T1" s="9" t="s">
        <v>72</v>
      </c>
      <c r="U1" s="9" t="s">
        <v>1</v>
      </c>
      <c r="V1" s="1" t="s">
        <v>584</v>
      </c>
    </row>
    <row r="2" spans="1:22" x14ac:dyDescent="0.3">
      <c r="A2" s="7" t="s">
        <v>73</v>
      </c>
      <c r="B2" s="29" t="s">
        <v>176</v>
      </c>
      <c r="C2" s="20" t="s">
        <v>177</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75</v>
      </c>
      <c r="B3" s="42" t="s">
        <v>176</v>
      </c>
      <c r="C3" s="43" t="s">
        <v>177</v>
      </c>
      <c r="D3" s="44" t="s">
        <v>177</v>
      </c>
      <c r="E3" s="44" t="s">
        <v>583</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73</v>
      </c>
      <c r="B4" s="29" t="s">
        <v>202</v>
      </c>
      <c r="C4" s="55" t="s">
        <v>179</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75</v>
      </c>
      <c r="B5" s="42" t="s">
        <v>202</v>
      </c>
      <c r="C5" s="56" t="s">
        <v>179</v>
      </c>
      <c r="D5" s="44" t="s">
        <v>179</v>
      </c>
      <c r="E5" s="44" t="s">
        <v>583</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73</v>
      </c>
      <c r="B6" s="137" t="s">
        <v>568</v>
      </c>
      <c r="C6" s="142" t="s">
        <v>557</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75</v>
      </c>
      <c r="B7" s="137" t="s">
        <v>568</v>
      </c>
      <c r="C7" s="142" t="s">
        <v>557</v>
      </c>
      <c r="D7" s="143" t="s">
        <v>557</v>
      </c>
      <c r="E7" s="143" t="s">
        <v>583</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73</v>
      </c>
      <c r="B8" s="57" t="s">
        <v>187</v>
      </c>
      <c r="C8" s="58" t="s">
        <v>180</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75</v>
      </c>
      <c r="B9" s="57" t="s">
        <v>187</v>
      </c>
      <c r="C9" s="144" t="s">
        <v>180</v>
      </c>
      <c r="D9" s="59" t="s">
        <v>180</v>
      </c>
      <c r="E9" s="59" t="s">
        <v>583</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73</v>
      </c>
      <c r="B10" s="151" t="s">
        <v>581</v>
      </c>
      <c r="C10" s="139" t="s">
        <v>562</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75</v>
      </c>
      <c r="B11" s="151" t="s">
        <v>581</v>
      </c>
      <c r="C11" s="139" t="s">
        <v>562</v>
      </c>
      <c r="D11" s="139" t="s">
        <v>562</v>
      </c>
      <c r="E11" s="139" t="s">
        <v>583</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73</v>
      </c>
      <c r="B12" s="29" t="s">
        <v>200</v>
      </c>
      <c r="C12" s="3" t="s">
        <v>143</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75</v>
      </c>
      <c r="B13" s="42" t="s">
        <v>200</v>
      </c>
      <c r="C13" s="43" t="s">
        <v>143</v>
      </c>
      <c r="D13" s="44" t="s">
        <v>143</v>
      </c>
      <c r="E13" s="44" t="s">
        <v>583</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73</v>
      </c>
      <c r="B14" s="29" t="s">
        <v>201</v>
      </c>
      <c r="C14" s="3" t="s">
        <v>134</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75</v>
      </c>
      <c r="B15" s="42" t="s">
        <v>201</v>
      </c>
      <c r="C15" s="43" t="s">
        <v>134</v>
      </c>
      <c r="D15" s="44" t="s">
        <v>134</v>
      </c>
      <c r="E15" s="44" t="s">
        <v>583</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73</v>
      </c>
      <c r="B16" s="153" t="s">
        <v>579</v>
      </c>
      <c r="C16" s="152" t="s">
        <v>580</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75</v>
      </c>
      <c r="B17" s="153" t="s">
        <v>579</v>
      </c>
      <c r="C17" s="152" t="s">
        <v>580</v>
      </c>
      <c r="D17" s="152" t="s">
        <v>580</v>
      </c>
      <c r="E17" s="149" t="s">
        <v>583</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73</v>
      </c>
      <c r="B18" s="10" t="s">
        <v>93</v>
      </c>
      <c r="C18" s="3" t="s">
        <v>59</v>
      </c>
      <c r="D18" s="45"/>
      <c r="E18" s="44" t="s">
        <v>583</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75</v>
      </c>
      <c r="B19" s="42" t="s">
        <v>93</v>
      </c>
      <c r="C19" s="43" t="s">
        <v>59</v>
      </c>
      <c r="D19" s="44" t="s">
        <v>59</v>
      </c>
      <c r="E19" s="44" t="s">
        <v>583</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73</v>
      </c>
      <c r="B20" s="10" t="s">
        <v>94</v>
      </c>
      <c r="C20" s="3" t="s">
        <v>55</v>
      </c>
      <c r="D20" s="15" t="s">
        <v>104</v>
      </c>
      <c r="E20" s="44" t="s">
        <v>583</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75</v>
      </c>
      <c r="B21" s="32" t="s">
        <v>94</v>
      </c>
      <c r="C21" s="33" t="s">
        <v>55</v>
      </c>
      <c r="D21" s="34" t="s">
        <v>55</v>
      </c>
      <c r="E21" s="34" t="s">
        <v>583</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73</v>
      </c>
      <c r="B22" s="10" t="s">
        <v>95</v>
      </c>
      <c r="C22" s="3" t="s">
        <v>52</v>
      </c>
      <c r="D22" s="87" t="s">
        <v>455</v>
      </c>
      <c r="E22" s="44" t="s">
        <v>583</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75</v>
      </c>
      <c r="B23" s="32" t="s">
        <v>95</v>
      </c>
      <c r="C23" s="33" t="s">
        <v>52</v>
      </c>
      <c r="D23" s="86" t="s">
        <v>52</v>
      </c>
      <c r="E23" s="86" t="s">
        <v>583</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75</v>
      </c>
      <c r="B24" s="10" t="s">
        <v>102</v>
      </c>
      <c r="C24" s="15" t="s">
        <v>52</v>
      </c>
      <c r="D24" s="15" t="s">
        <v>53</v>
      </c>
      <c r="E24" s="44" t="s">
        <v>583</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73</v>
      </c>
      <c r="B25" s="10" t="s">
        <v>96</v>
      </c>
      <c r="C25" s="3" t="s">
        <v>0</v>
      </c>
      <c r="D25" s="15" t="s">
        <v>105</v>
      </c>
      <c r="E25" s="44" t="s">
        <v>583</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75</v>
      </c>
      <c r="B26" s="32" t="s">
        <v>96</v>
      </c>
      <c r="C26" s="33" t="s">
        <v>0</v>
      </c>
      <c r="D26" s="34" t="s">
        <v>0</v>
      </c>
      <c r="E26" s="15" t="s">
        <v>583</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75</v>
      </c>
      <c r="B27" s="11" t="s">
        <v>103</v>
      </c>
      <c r="C27" s="16" t="s">
        <v>0</v>
      </c>
      <c r="D27" s="15" t="s">
        <v>57</v>
      </c>
      <c r="E27" s="15" t="s">
        <v>583</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75</v>
      </c>
      <c r="B28" s="10" t="s">
        <v>97</v>
      </c>
      <c r="C28" s="15" t="s">
        <v>0</v>
      </c>
      <c r="D28" s="15" t="s">
        <v>49</v>
      </c>
      <c r="E28" s="45" t="s">
        <v>583</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73</v>
      </c>
      <c r="B29" s="10" t="s">
        <v>98</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75</v>
      </c>
      <c r="B30" s="42" t="s">
        <v>98</v>
      </c>
      <c r="C30" s="43" t="s">
        <v>28</v>
      </c>
      <c r="D30" s="44" t="s">
        <v>28</v>
      </c>
      <c r="E30" s="45" t="s">
        <v>583</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73</v>
      </c>
      <c r="B31" s="10" t="s">
        <v>99</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75</v>
      </c>
      <c r="B32" s="42" t="s">
        <v>99</v>
      </c>
      <c r="C32" s="43" t="s">
        <v>32</v>
      </c>
      <c r="D32" s="44" t="s">
        <v>32</v>
      </c>
      <c r="E32" s="45" t="s">
        <v>583</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73</v>
      </c>
      <c r="B33" s="10" t="s">
        <v>100</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75</v>
      </c>
      <c r="B34" s="42" t="s">
        <v>100</v>
      </c>
      <c r="C34" s="43" t="s">
        <v>10</v>
      </c>
      <c r="D34" s="44" t="s">
        <v>10</v>
      </c>
      <c r="E34" s="45" t="s">
        <v>583</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73</v>
      </c>
      <c r="B35" s="10" t="s">
        <v>101</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75</v>
      </c>
      <c r="B36" s="42" t="s">
        <v>101</v>
      </c>
      <c r="C36" s="43" t="s">
        <v>11</v>
      </c>
      <c r="D36" s="44" t="s">
        <v>11</v>
      </c>
      <c r="E36" s="44" t="s">
        <v>583</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73</v>
      </c>
      <c r="B37" s="29" t="s">
        <v>203</v>
      </c>
      <c r="C37" s="30" t="s">
        <v>149</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75</v>
      </c>
      <c r="B38" s="42" t="s">
        <v>203</v>
      </c>
      <c r="C38" s="43" t="s">
        <v>149</v>
      </c>
      <c r="D38" s="44" t="s">
        <v>149</v>
      </c>
      <c r="E38" s="44" t="s">
        <v>583</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73</v>
      </c>
      <c r="B39" s="35" t="s">
        <v>174</v>
      </c>
      <c r="C39" s="17" t="s">
        <v>170</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75</v>
      </c>
      <c r="B40" s="35" t="s">
        <v>174</v>
      </c>
      <c r="C40" s="17" t="s">
        <v>170</v>
      </c>
      <c r="D40" s="36" t="s">
        <v>170</v>
      </c>
      <c r="E40" s="44" t="s">
        <v>583</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73</v>
      </c>
      <c r="B41" s="35" t="s">
        <v>208</v>
      </c>
      <c r="C41" s="37" t="s">
        <v>107</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75</v>
      </c>
      <c r="B42" s="35" t="s">
        <v>208</v>
      </c>
      <c r="C42" s="37" t="s">
        <v>107</v>
      </c>
      <c r="D42" s="36" t="s">
        <v>107</v>
      </c>
      <c r="E42" s="45" t="s">
        <v>583</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73</v>
      </c>
      <c r="B43" s="35" t="s">
        <v>162</v>
      </c>
      <c r="C43" s="37" t="s">
        <v>144</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75</v>
      </c>
      <c r="B44" s="35" t="s">
        <v>162</v>
      </c>
      <c r="C44" s="37" t="s">
        <v>144</v>
      </c>
      <c r="D44" s="36" t="s">
        <v>144</v>
      </c>
      <c r="E44" s="45" t="s">
        <v>583</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73</v>
      </c>
      <c r="B45" s="160" t="s">
        <v>173</v>
      </c>
      <c r="C45" s="37" t="s">
        <v>156</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75</v>
      </c>
      <c r="B46" s="160" t="s">
        <v>173</v>
      </c>
      <c r="C46" s="37" t="s">
        <v>156</v>
      </c>
      <c r="D46" s="36" t="s">
        <v>156</v>
      </c>
      <c r="E46" s="45" t="s">
        <v>583</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5">
      <c r="A47" s="35" t="s">
        <v>73</v>
      </c>
      <c r="B47" s="35" t="s">
        <v>496</v>
      </c>
      <c r="C47" t="s">
        <v>57</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5">
      <c r="A48" s="35" t="s">
        <v>75</v>
      </c>
      <c r="B48" s="35" t="s">
        <v>496</v>
      </c>
      <c r="C48" t="s">
        <v>57</v>
      </c>
      <c r="D48" s="36" t="s">
        <v>57</v>
      </c>
      <c r="E48" s="44" t="s">
        <v>583</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5">
      <c r="A49" s="35" t="s">
        <v>73</v>
      </c>
      <c r="B49" s="116" t="s">
        <v>506</v>
      </c>
      <c r="C49" t="s">
        <v>158</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5">
      <c r="A50" s="35" t="s">
        <v>75</v>
      </c>
      <c r="B50" s="116" t="s">
        <v>506</v>
      </c>
      <c r="C50" t="s">
        <v>158</v>
      </c>
      <c r="D50" s="36" t="s">
        <v>158</v>
      </c>
      <c r="E50" s="44" t="s">
        <v>583</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5">
      <c r="A51" s="35" t="s">
        <v>73</v>
      </c>
      <c r="B51" s="35" t="s">
        <v>497</v>
      </c>
      <c r="C51" t="s">
        <v>195</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5">
      <c r="A52" s="35" t="s">
        <v>75</v>
      </c>
      <c r="B52" s="35" t="s">
        <v>497</v>
      </c>
      <c r="C52" t="s">
        <v>195</v>
      </c>
      <c r="D52" s="36" t="s">
        <v>195</v>
      </c>
      <c r="E52" s="44" t="s">
        <v>583</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5">
      <c r="A53" s="35" t="s">
        <v>73</v>
      </c>
      <c r="B53" s="35" t="s">
        <v>498</v>
      </c>
      <c r="C53" t="s">
        <v>469</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5">
      <c r="A54" s="35" t="s">
        <v>75</v>
      </c>
      <c r="B54" s="35" t="s">
        <v>498</v>
      </c>
      <c r="C54" t="s">
        <v>469</v>
      </c>
      <c r="D54" s="36" t="s">
        <v>469</v>
      </c>
      <c r="E54" s="45" t="s">
        <v>583</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5">
      <c r="A55" s="35" t="s">
        <v>73</v>
      </c>
      <c r="B55" s="35" t="s">
        <v>499</v>
      </c>
      <c r="C55" t="s">
        <v>457</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5">
      <c r="A56" s="35" t="s">
        <v>75</v>
      </c>
      <c r="B56" s="35" t="s">
        <v>499</v>
      </c>
      <c r="C56" t="s">
        <v>457</v>
      </c>
      <c r="D56" s="36" t="s">
        <v>457</v>
      </c>
      <c r="E56" s="45" t="s">
        <v>583</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5">
      <c r="A57" s="35" t="s">
        <v>73</v>
      </c>
      <c r="B57" s="35" t="s">
        <v>500</v>
      </c>
      <c r="C57" t="s">
        <v>423</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5">
      <c r="A58" s="35" t="s">
        <v>75</v>
      </c>
      <c r="B58" s="35" t="s">
        <v>500</v>
      </c>
      <c r="C58" t="s">
        <v>423</v>
      </c>
      <c r="D58" s="36" t="s">
        <v>423</v>
      </c>
      <c r="E58" s="45" t="s">
        <v>583</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5">
      <c r="A59" s="35" t="s">
        <v>73</v>
      </c>
      <c r="B59" s="35" t="s">
        <v>501</v>
      </c>
      <c r="C59" t="s">
        <v>440</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5">
      <c r="A60" s="35" t="s">
        <v>75</v>
      </c>
      <c r="B60" s="35" t="s">
        <v>501</v>
      </c>
      <c r="C60" t="s">
        <v>440</v>
      </c>
      <c r="D60" s="36" t="s">
        <v>440</v>
      </c>
      <c r="E60" s="44" t="s">
        <v>583</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5">
      <c r="A61" s="35" t="s">
        <v>73</v>
      </c>
      <c r="B61" s="35" t="s">
        <v>502</v>
      </c>
      <c r="C61" t="s">
        <v>424</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5">
      <c r="A62" s="35" t="s">
        <v>75</v>
      </c>
      <c r="B62" s="35" t="s">
        <v>502</v>
      </c>
      <c r="C62" t="s">
        <v>424</v>
      </c>
      <c r="D62" s="36" t="s">
        <v>424</v>
      </c>
      <c r="E62" s="44" t="s">
        <v>583</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5">
      <c r="A63" s="35" t="s">
        <v>73</v>
      </c>
      <c r="B63" s="35" t="s">
        <v>102</v>
      </c>
      <c r="C63" t="s">
        <v>53</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5">
      <c r="A64" s="35" t="s">
        <v>75</v>
      </c>
      <c r="B64" s="35" t="s">
        <v>102</v>
      </c>
      <c r="C64" t="s">
        <v>53</v>
      </c>
      <c r="D64" s="36" t="s">
        <v>53</v>
      </c>
      <c r="E64" s="44" t="s">
        <v>583</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5">
      <c r="A65" s="35" t="s">
        <v>73</v>
      </c>
      <c r="B65" s="35" t="s">
        <v>503</v>
      </c>
      <c r="C65" t="s">
        <v>145</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5">
      <c r="A66" s="35" t="s">
        <v>75</v>
      </c>
      <c r="B66" s="35" t="s">
        <v>503</v>
      </c>
      <c r="C66" t="s">
        <v>145</v>
      </c>
      <c r="D66" s="36" t="s">
        <v>145</v>
      </c>
      <c r="E66" s="45" t="s">
        <v>583</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5">
      <c r="A67" s="35" t="s">
        <v>73</v>
      </c>
      <c r="B67" s="35" t="s">
        <v>504</v>
      </c>
      <c r="C67" t="s">
        <v>197</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5">
      <c r="A68" s="35" t="s">
        <v>75</v>
      </c>
      <c r="B68" s="35" t="s">
        <v>504</v>
      </c>
      <c r="C68" t="s">
        <v>197</v>
      </c>
      <c r="D68" s="36" t="s">
        <v>197</v>
      </c>
      <c r="E68" s="45" t="s">
        <v>583</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5">
      <c r="A69" s="35" t="s">
        <v>73</v>
      </c>
      <c r="B69" s="35" t="s">
        <v>505</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5">
      <c r="A70" s="35" t="s">
        <v>75</v>
      </c>
      <c r="B70" s="35" t="s">
        <v>505</v>
      </c>
      <c r="C70" t="s">
        <v>22</v>
      </c>
      <c r="D70" s="36" t="s">
        <v>22</v>
      </c>
      <c r="E70" s="45" t="s">
        <v>583</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5">
      <c r="A71" s="35" t="s">
        <v>73</v>
      </c>
      <c r="B71" s="35" t="s">
        <v>97</v>
      </c>
      <c r="C71" t="s">
        <v>49</v>
      </c>
      <c r="D71" s="36" t="s">
        <v>5</v>
      </c>
      <c r="E71" s="44" t="s">
        <v>583</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5">
      <c r="A72" s="35" t="s">
        <v>75</v>
      </c>
      <c r="B72" s="35" t="s">
        <v>97</v>
      </c>
      <c r="C72" t="s">
        <v>49</v>
      </c>
      <c r="D72" s="36" t="s">
        <v>49</v>
      </c>
      <c r="E72" s="44" t="s">
        <v>583</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6.100000000000001" x14ac:dyDescent="0.35"/>
  <cols>
    <col min="2" max="2" width="23" bestFit="1" customWidth="1"/>
  </cols>
  <sheetData>
    <row r="1" spans="1:2" x14ac:dyDescent="0.35">
      <c r="A1" t="s">
        <v>63</v>
      </c>
      <c r="B1" t="s">
        <v>66</v>
      </c>
    </row>
    <row r="2" spans="1:2" x14ac:dyDescent="0.35">
      <c r="A2" t="s">
        <v>68</v>
      </c>
      <c r="B2"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t="s">
        <v>63</v>
      </c>
      <c r="B1" t="s">
        <v>66</v>
      </c>
    </row>
    <row r="2" spans="1:2" x14ac:dyDescent="0.35">
      <c r="A2" t="s">
        <v>68</v>
      </c>
      <c r="B2"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2017-05-15T16:18:36Z</dcterms:modified>
</cp:coreProperties>
</file>