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paths.csv!$A$1:$F$70</definedName>
  </definedNames>
  <calcPr calcId="171027"/>
</workbook>
</file>

<file path=xl/calcChain.xml><?xml version="1.0" encoding="utf-8"?>
<calcChain xmlns="http://schemas.openxmlformats.org/spreadsheetml/2006/main">
  <c r="T11" i="30" l="1"/>
  <c r="S11" i="30"/>
  <c r="R11" i="30"/>
  <c r="Q11" i="30"/>
  <c r="P11" i="30"/>
  <c r="O11" i="30"/>
  <c r="N11" i="30"/>
  <c r="M11" i="30"/>
  <c r="L11" i="30"/>
  <c r="K11" i="30"/>
  <c r="J11" i="30"/>
  <c r="I11" i="30"/>
  <c r="H11" i="30"/>
  <c r="G11" i="30"/>
  <c r="T10" i="30"/>
  <c r="S10" i="30"/>
  <c r="R10" i="30"/>
  <c r="Q10" i="30"/>
  <c r="P10" i="30"/>
  <c r="O10" i="30"/>
  <c r="N10" i="30"/>
  <c r="M10" i="30"/>
  <c r="L10" i="30"/>
  <c r="K10" i="30"/>
  <c r="J10" i="30"/>
  <c r="I10" i="30"/>
  <c r="H10" i="30"/>
  <c r="G10" i="30"/>
  <c r="T5" i="30" l="1"/>
  <c r="S5" i="30"/>
  <c r="R5" i="30"/>
  <c r="Q5" i="30"/>
  <c r="P5" i="30"/>
  <c r="O5" i="30"/>
  <c r="N5" i="30"/>
  <c r="M5" i="30"/>
  <c r="L5" i="30"/>
  <c r="K5" i="30"/>
  <c r="J5" i="30"/>
  <c r="I5" i="30"/>
  <c r="H5" i="30"/>
  <c r="G5" i="30"/>
  <c r="T4" i="30"/>
  <c r="S4" i="30"/>
  <c r="R4" i="30"/>
  <c r="Q4" i="30"/>
  <c r="P4" i="30"/>
  <c r="O4" i="30"/>
  <c r="N4" i="30"/>
  <c r="M4" i="30"/>
  <c r="L4" i="30"/>
  <c r="K4" i="30"/>
  <c r="J4" i="30"/>
  <c r="I4" i="30"/>
  <c r="H4" i="30"/>
  <c r="G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3" i="27"/>
  <c r="X166" i="27"/>
  <c r="X164" i="27"/>
  <c r="X168" i="27"/>
  <c r="X170" i="27"/>
  <c r="X162" i="27"/>
  <c r="X171" i="27"/>
  <c r="X169" i="27"/>
  <c r="X167"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83" i="27"/>
  <c r="X178" i="27"/>
  <c r="X181" i="27"/>
  <c r="X177" i="27"/>
  <c r="X179" i="27"/>
  <c r="I252" i="27" l="1"/>
  <c r="J252" i="27"/>
  <c r="K252" i="27"/>
  <c r="L252" i="27"/>
  <c r="M252" i="27"/>
  <c r="N252" i="27"/>
  <c r="O252" i="27"/>
  <c r="P252" i="27"/>
  <c r="Q252" i="27"/>
  <c r="R252" i="27"/>
  <c r="S252" i="27"/>
  <c r="T252" i="27"/>
  <c r="U252" i="27"/>
  <c r="V252" i="27"/>
  <c r="W252" i="27"/>
  <c r="Y252" i="27"/>
  <c r="X252" i="27"/>
  <c r="R49" i="30" l="1"/>
  <c r="R50" i="30"/>
  <c r="R54" i="30"/>
  <c r="R58" i="30"/>
  <c r="R62" i="30"/>
  <c r="R66" i="30"/>
  <c r="R70" i="30"/>
  <c r="G45" i="30"/>
  <c r="H45" i="30"/>
  <c r="I45" i="30"/>
  <c r="J45" i="30"/>
  <c r="K45" i="30"/>
  <c r="L45" i="30"/>
  <c r="M45" i="30"/>
  <c r="N45" i="30"/>
  <c r="O45" i="30"/>
  <c r="P45" i="30"/>
  <c r="Q45" i="30"/>
  <c r="R45" i="30"/>
  <c r="S45" i="30"/>
  <c r="T45" i="30"/>
  <c r="G46" i="30"/>
  <c r="H46" i="30"/>
  <c r="I46" i="30"/>
  <c r="J46" i="30"/>
  <c r="K46" i="30"/>
  <c r="L46" i="30"/>
  <c r="M46" i="30"/>
  <c r="N46" i="30"/>
  <c r="O46" i="30"/>
  <c r="P46" i="30"/>
  <c r="Q46" i="30"/>
  <c r="R46" i="30"/>
  <c r="S46" i="30"/>
  <c r="T46"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R52"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R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S70" i="30"/>
  <c r="T70"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66" i="27"/>
  <c r="X73" i="27"/>
  <c r="X76" i="27"/>
  <c r="X79" i="27"/>
  <c r="X215" i="27"/>
  <c r="X71" i="27"/>
  <c r="X51" i="27"/>
  <c r="X83" i="27"/>
  <c r="X74" i="27"/>
  <c r="X77" i="27"/>
  <c r="X61" i="27"/>
  <c r="X58" i="27"/>
  <c r="X72" i="27"/>
  <c r="X78" i="27"/>
  <c r="X67" i="27"/>
  <c r="X56" i="27"/>
  <c r="X69" i="27"/>
  <c r="X63" i="27"/>
  <c r="X65" i="27"/>
  <c r="X55" i="27"/>
  <c r="X75" i="27"/>
  <c r="X70" i="27"/>
  <c r="X60" i="27"/>
  <c r="X59" i="27"/>
  <c r="X68" i="27"/>
  <c r="X62"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31" i="27"/>
  <c r="X33" i="27"/>
  <c r="X32" i="27"/>
  <c r="X45" i="27"/>
  <c r="X52" i="27"/>
  <c r="X112" i="27"/>
  <c r="X46" i="27"/>
  <c r="X34"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113" i="27"/>
  <c r="X211" i="27"/>
  <c r="X114" i="27"/>
  <c r="X210" i="27"/>
  <c r="X209" i="27"/>
  <c r="I309" i="27" l="1"/>
  <c r="J309" i="27"/>
  <c r="K309" i="27"/>
  <c r="L309" i="27"/>
  <c r="M309" i="27"/>
  <c r="N309" i="27"/>
  <c r="O309" i="27"/>
  <c r="P309" i="27"/>
  <c r="Q309" i="27"/>
  <c r="R309" i="27"/>
  <c r="S309" i="27"/>
  <c r="T309" i="27"/>
  <c r="U309" i="27"/>
  <c r="V309" i="27"/>
  <c r="W309" i="27"/>
  <c r="Y309" i="27"/>
  <c r="X309"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89" i="27"/>
  <c r="J289" i="27"/>
  <c r="K289" i="27"/>
  <c r="L289" i="27"/>
  <c r="M289" i="27"/>
  <c r="N289" i="27"/>
  <c r="O289" i="27"/>
  <c r="P289" i="27"/>
  <c r="Q289" i="27"/>
  <c r="R289" i="27"/>
  <c r="S289" i="27"/>
  <c r="T289" i="27"/>
  <c r="U289" i="27"/>
  <c r="V289" i="27"/>
  <c r="W289" i="27"/>
  <c r="Y289" i="27"/>
  <c r="Y293" i="27"/>
  <c r="W293" i="27"/>
  <c r="V293" i="27"/>
  <c r="U293" i="27"/>
  <c r="T293" i="27"/>
  <c r="S293" i="27"/>
  <c r="R293" i="27"/>
  <c r="Q293" i="27"/>
  <c r="P293" i="27"/>
  <c r="O293" i="27"/>
  <c r="N293" i="27"/>
  <c r="M293" i="27"/>
  <c r="L293" i="27"/>
  <c r="K293" i="27"/>
  <c r="J293" i="27"/>
  <c r="I293" i="27"/>
  <c r="Y292" i="27"/>
  <c r="W292" i="27"/>
  <c r="V292" i="27"/>
  <c r="U292" i="27"/>
  <c r="T292" i="27"/>
  <c r="S292" i="27"/>
  <c r="R292" i="27"/>
  <c r="Q292" i="27"/>
  <c r="P292" i="27"/>
  <c r="O292" i="27"/>
  <c r="N292" i="27"/>
  <c r="M292" i="27"/>
  <c r="L292" i="27"/>
  <c r="K292" i="27"/>
  <c r="J292" i="27"/>
  <c r="I292" i="27"/>
  <c r="I282" i="27"/>
  <c r="J282" i="27"/>
  <c r="K282" i="27"/>
  <c r="L282" i="27"/>
  <c r="M282" i="27"/>
  <c r="N282" i="27"/>
  <c r="O282" i="27"/>
  <c r="P282" i="27"/>
  <c r="Q282" i="27"/>
  <c r="R282" i="27"/>
  <c r="S282" i="27"/>
  <c r="T282" i="27"/>
  <c r="U282" i="27"/>
  <c r="V282" i="27"/>
  <c r="W282" i="27"/>
  <c r="Y282" i="27"/>
  <c r="I275" i="27"/>
  <c r="J275" i="27"/>
  <c r="K275" i="27"/>
  <c r="L275" i="27"/>
  <c r="M275" i="27"/>
  <c r="N275" i="27"/>
  <c r="O275" i="27"/>
  <c r="P275" i="27"/>
  <c r="Q275" i="27"/>
  <c r="R275" i="27"/>
  <c r="S275" i="27"/>
  <c r="T275" i="27"/>
  <c r="U275" i="27"/>
  <c r="V275" i="27"/>
  <c r="W275" i="27"/>
  <c r="Y275" i="27"/>
  <c r="I267" i="27"/>
  <c r="J267" i="27"/>
  <c r="K267" i="27"/>
  <c r="L267" i="27"/>
  <c r="M267" i="27"/>
  <c r="N267" i="27"/>
  <c r="O267" i="27"/>
  <c r="P267" i="27"/>
  <c r="Q267" i="27"/>
  <c r="R267" i="27"/>
  <c r="S267" i="27"/>
  <c r="T267" i="27"/>
  <c r="U267" i="27"/>
  <c r="V267" i="27"/>
  <c r="W267" i="27"/>
  <c r="Y267"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293" i="27"/>
  <c r="X282" i="27"/>
  <c r="X195" i="27"/>
  <c r="X38" i="27"/>
  <c r="X115" i="27"/>
  <c r="X6" i="27"/>
  <c r="X99" i="27"/>
  <c r="X267" i="27"/>
  <c r="X208" i="27"/>
  <c r="X292" i="27"/>
  <c r="X275" i="27"/>
  <c r="X289" i="27"/>
  <c r="G9" i="30" l="1"/>
  <c r="H9" i="30"/>
  <c r="I9" i="30"/>
  <c r="J9" i="30"/>
  <c r="K9" i="30"/>
  <c r="L9" i="30"/>
  <c r="M9" i="30"/>
  <c r="N9" i="30"/>
  <c r="O9" i="30"/>
  <c r="P9" i="30"/>
  <c r="Q9" i="30"/>
  <c r="R9" i="30"/>
  <c r="S9" i="30"/>
  <c r="T9" i="30"/>
  <c r="R8" i="30"/>
  <c r="G8" i="30"/>
  <c r="H8" i="30"/>
  <c r="I8" i="30"/>
  <c r="J8" i="30"/>
  <c r="K8" i="30"/>
  <c r="L8" i="30"/>
  <c r="M8" i="30"/>
  <c r="N8" i="30"/>
  <c r="O8" i="30"/>
  <c r="P8" i="30"/>
  <c r="Q8" i="30"/>
  <c r="S8" i="30"/>
  <c r="T8" i="30"/>
  <c r="G36" i="30" l="1"/>
  <c r="H36" i="30"/>
  <c r="I36" i="30"/>
  <c r="J36" i="30"/>
  <c r="K36" i="30"/>
  <c r="L36" i="30"/>
  <c r="M36" i="30"/>
  <c r="N36" i="30"/>
  <c r="O36" i="30"/>
  <c r="P36" i="30"/>
  <c r="Q36" i="30"/>
  <c r="R36" i="30"/>
  <c r="S36" i="30"/>
  <c r="T36" i="30"/>
  <c r="G34" i="30"/>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17" i="30"/>
  <c r="H17" i="30"/>
  <c r="I17" i="30"/>
  <c r="J17" i="30"/>
  <c r="K17" i="30"/>
  <c r="L17" i="30"/>
  <c r="M17" i="30"/>
  <c r="N17" i="30"/>
  <c r="O17" i="30"/>
  <c r="P17" i="30"/>
  <c r="Q17" i="30"/>
  <c r="R17" i="30"/>
  <c r="S17" i="30"/>
  <c r="T17" i="30"/>
  <c r="R15" i="30"/>
  <c r="G15" i="30"/>
  <c r="H15" i="30"/>
  <c r="I15" i="30"/>
  <c r="J15" i="30"/>
  <c r="K15" i="30"/>
  <c r="L15" i="30"/>
  <c r="M15" i="30"/>
  <c r="N15" i="30"/>
  <c r="O15" i="30"/>
  <c r="P15" i="30"/>
  <c r="Q15" i="30"/>
  <c r="S15" i="30"/>
  <c r="T15" i="30"/>
  <c r="G13" i="30"/>
  <c r="H13" i="30"/>
  <c r="I13" i="30"/>
  <c r="J13" i="30"/>
  <c r="K13" i="30"/>
  <c r="L13" i="30"/>
  <c r="M13" i="30"/>
  <c r="N13" i="30"/>
  <c r="O13" i="30"/>
  <c r="P13" i="30"/>
  <c r="Q13" i="30"/>
  <c r="R13" i="30"/>
  <c r="S13" i="30"/>
  <c r="T13" i="30"/>
  <c r="G7" i="30"/>
  <c r="H7" i="30"/>
  <c r="I7" i="30"/>
  <c r="J7" i="30"/>
  <c r="K7" i="30"/>
  <c r="L7" i="30"/>
  <c r="M7" i="30"/>
  <c r="N7" i="30"/>
  <c r="O7" i="30"/>
  <c r="P7" i="30"/>
  <c r="Q7" i="30"/>
  <c r="R7" i="30"/>
  <c r="S7" i="30"/>
  <c r="T7"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3" i="27"/>
  <c r="Y254" i="27"/>
  <c r="Y255" i="27"/>
  <c r="Y256" i="27"/>
  <c r="Y287" i="27"/>
  <c r="Y288" i="27"/>
  <c r="Y290" i="27"/>
  <c r="Y291" i="27"/>
  <c r="Y257" i="27"/>
  <c r="Y258" i="27"/>
  <c r="Y259" i="27"/>
  <c r="Y260" i="27"/>
  <c r="Y261" i="27"/>
  <c r="Y262" i="27"/>
  <c r="Y263" i="27"/>
  <c r="Y264" i="27"/>
  <c r="Y265" i="27"/>
  <c r="Y266" i="27"/>
  <c r="Y268" i="27"/>
  <c r="Y269" i="27"/>
  <c r="Y270" i="27"/>
  <c r="Y271" i="27"/>
  <c r="Y272" i="27"/>
  <c r="Y273" i="27"/>
  <c r="Y274" i="27"/>
  <c r="Y276" i="27"/>
  <c r="Y277" i="27"/>
  <c r="Y278" i="27"/>
  <c r="Y279" i="27"/>
  <c r="Y280" i="27"/>
  <c r="Y281" i="27"/>
  <c r="Y283" i="27"/>
  <c r="Y284" i="27"/>
  <c r="Y285" i="27"/>
  <c r="Y286" i="27"/>
  <c r="Y294" i="27"/>
  <c r="Y295" i="27"/>
  <c r="Y296" i="27"/>
  <c r="Y297" i="27"/>
  <c r="Y298" i="27"/>
  <c r="Y299" i="27"/>
  <c r="Y300" i="27"/>
  <c r="Y301" i="27"/>
  <c r="Y302" i="27"/>
  <c r="Y303" i="27"/>
  <c r="Y304" i="27"/>
  <c r="Y305" i="27"/>
  <c r="Y306" i="27"/>
  <c r="Y307" i="27"/>
  <c r="Y308"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V228" i="27"/>
  <c r="I228" i="27"/>
  <c r="J228" i="27"/>
  <c r="K228" i="27"/>
  <c r="L228" i="27"/>
  <c r="M228" i="27"/>
  <c r="N228" i="27"/>
  <c r="O228" i="27"/>
  <c r="P228" i="27"/>
  <c r="Q228" i="27"/>
  <c r="R228" i="27"/>
  <c r="S228" i="27"/>
  <c r="T228" i="27"/>
  <c r="U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V240" i="27"/>
  <c r="I240" i="27"/>
  <c r="J240" i="27"/>
  <c r="K240" i="27"/>
  <c r="L240" i="27"/>
  <c r="M240" i="27"/>
  <c r="N240" i="27"/>
  <c r="O240" i="27"/>
  <c r="P240" i="27"/>
  <c r="Q240" i="27"/>
  <c r="R240" i="27"/>
  <c r="S240" i="27"/>
  <c r="T240" i="27"/>
  <c r="U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Y339" i="27" l="1"/>
  <c r="R44" i="30"/>
  <c r="G44" i="30"/>
  <c r="H44" i="30"/>
  <c r="I44" i="30"/>
  <c r="J44" i="30"/>
  <c r="K44" i="30"/>
  <c r="L44" i="30"/>
  <c r="M44" i="30"/>
  <c r="N44" i="30"/>
  <c r="O44" i="30"/>
  <c r="P44" i="30"/>
  <c r="Q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R41" i="30"/>
  <c r="G41" i="30"/>
  <c r="H41" i="30"/>
  <c r="I41" i="30"/>
  <c r="J41" i="30"/>
  <c r="K41" i="30"/>
  <c r="L41" i="30"/>
  <c r="M41" i="30"/>
  <c r="N41" i="30"/>
  <c r="O41" i="30"/>
  <c r="P41" i="30"/>
  <c r="Q41" i="30"/>
  <c r="S41" i="30"/>
  <c r="T41" i="30"/>
  <c r="G40" i="30"/>
  <c r="H40" i="30"/>
  <c r="I40" i="30"/>
  <c r="J40" i="30"/>
  <c r="K40" i="30"/>
  <c r="L40" i="30"/>
  <c r="M40" i="30"/>
  <c r="N40" i="30"/>
  <c r="O40" i="30"/>
  <c r="P40" i="30"/>
  <c r="Q40" i="30"/>
  <c r="R40" i="30"/>
  <c r="S40" i="30"/>
  <c r="T40" i="30"/>
  <c r="G39" i="30"/>
  <c r="H39" i="30"/>
  <c r="I39" i="30"/>
  <c r="J39" i="30"/>
  <c r="K39" i="30"/>
  <c r="L39" i="30"/>
  <c r="M39" i="30"/>
  <c r="N39" i="30"/>
  <c r="O39" i="30"/>
  <c r="P39" i="30"/>
  <c r="Q39" i="30"/>
  <c r="R39" i="30"/>
  <c r="S39" i="30"/>
  <c r="T39" i="30"/>
  <c r="G38" i="30"/>
  <c r="H38" i="30"/>
  <c r="I38" i="30"/>
  <c r="J38" i="30"/>
  <c r="K38" i="30"/>
  <c r="L38" i="30"/>
  <c r="M38" i="30"/>
  <c r="N38" i="30"/>
  <c r="O38" i="30"/>
  <c r="P38" i="30"/>
  <c r="Q38" i="30"/>
  <c r="R38" i="30"/>
  <c r="S38" i="30"/>
  <c r="T38" i="30"/>
  <c r="R37" i="30"/>
  <c r="G37" i="30"/>
  <c r="H37" i="30"/>
  <c r="I37" i="30"/>
  <c r="J37" i="30"/>
  <c r="K37" i="30"/>
  <c r="L37" i="30"/>
  <c r="M37" i="30"/>
  <c r="N37" i="30"/>
  <c r="O37" i="30"/>
  <c r="P37" i="30"/>
  <c r="Q37" i="30"/>
  <c r="S37" i="30"/>
  <c r="T37" i="30"/>
  <c r="G19" i="30" l="1"/>
  <c r="H19" i="30"/>
  <c r="I19" i="30"/>
  <c r="J19" i="30"/>
  <c r="K19" i="30"/>
  <c r="L19" i="30"/>
  <c r="M19" i="30"/>
  <c r="N19" i="30"/>
  <c r="O19" i="30"/>
  <c r="P19" i="30"/>
  <c r="Q19" i="30"/>
  <c r="R19" i="30"/>
  <c r="S19" i="30"/>
  <c r="T19" i="30"/>
  <c r="R21" i="30"/>
  <c r="G21" i="30"/>
  <c r="H21" i="30"/>
  <c r="I21" i="30"/>
  <c r="J21" i="30"/>
  <c r="K21" i="30"/>
  <c r="L21" i="30"/>
  <c r="M21" i="30"/>
  <c r="N21" i="30"/>
  <c r="O21" i="30"/>
  <c r="P21" i="30"/>
  <c r="Q21" i="30"/>
  <c r="S21" i="30"/>
  <c r="T21" i="30"/>
  <c r="R24" i="30"/>
  <c r="G24" i="30"/>
  <c r="H24" i="30"/>
  <c r="I24" i="30"/>
  <c r="J24" i="30"/>
  <c r="K24" i="30"/>
  <c r="L24" i="30"/>
  <c r="M24" i="30"/>
  <c r="N24" i="30"/>
  <c r="O24" i="30"/>
  <c r="P24" i="30"/>
  <c r="Q24" i="30"/>
  <c r="S24" i="30"/>
  <c r="T24" i="30"/>
  <c r="X19" i="27"/>
  <c r="X145" i="27"/>
  <c r="X202" i="27"/>
  <c r="X192" i="27"/>
  <c r="X121" i="27"/>
  <c r="X240" i="27"/>
  <c r="X119" i="27"/>
  <c r="X35" i="27"/>
  <c r="X103" i="27"/>
  <c r="X25" i="27"/>
  <c r="X224" i="27"/>
  <c r="X94" i="27"/>
  <c r="X288" i="27"/>
  <c r="X53" i="27"/>
  <c r="X102" i="27"/>
  <c r="X42" i="27"/>
  <c r="X134" i="27"/>
  <c r="X131" i="27"/>
  <c r="X140" i="27"/>
  <c r="X305" i="27"/>
  <c r="X9" i="27"/>
  <c r="X324" i="27"/>
  <c r="X39" i="27"/>
  <c r="X212" i="27"/>
  <c r="X264" i="27"/>
  <c r="X251" i="27"/>
  <c r="X123" i="27"/>
  <c r="X323" i="27"/>
  <c r="X105" i="27"/>
  <c r="X132" i="27"/>
  <c r="X318" i="27"/>
  <c r="X237" i="27"/>
  <c r="X297" i="27"/>
  <c r="X298" i="27"/>
  <c r="X154" i="27"/>
  <c r="X82" i="27"/>
  <c r="X93" i="27"/>
  <c r="X313" i="27"/>
  <c r="X203" i="27"/>
  <c r="X300" i="27"/>
  <c r="X26" i="27"/>
  <c r="X86" i="27"/>
  <c r="X101" i="27"/>
  <c r="X107" i="27"/>
  <c r="X84" i="27"/>
  <c r="X253" i="27"/>
  <c r="X232" i="27"/>
  <c r="X322" i="27"/>
  <c r="X44" i="27"/>
  <c r="X11" i="27"/>
  <c r="X319" i="27"/>
  <c r="X256" i="27"/>
  <c r="X306" i="27"/>
  <c r="X57" i="27"/>
  <c r="X261" i="27"/>
  <c r="X24" i="27"/>
  <c r="X205" i="27"/>
  <c r="X125" i="27"/>
  <c r="X137" i="27"/>
  <c r="X159" i="27"/>
  <c r="X259" i="27"/>
  <c r="X228" i="27"/>
  <c r="X317" i="27"/>
  <c r="X316" i="27"/>
  <c r="X80" i="27"/>
  <c r="X193" i="27"/>
  <c r="X222" i="27"/>
  <c r="X147" i="27"/>
  <c r="X90" i="27"/>
  <c r="X291" i="27"/>
  <c r="X285" i="27"/>
  <c r="X153" i="27"/>
  <c r="X189" i="27"/>
  <c r="X117" i="27"/>
  <c r="X263" i="27"/>
  <c r="X85" i="27"/>
  <c r="X126" i="27"/>
  <c r="X314" i="27"/>
  <c r="X213" i="27"/>
  <c r="X36" i="27"/>
  <c r="X155" i="27"/>
  <c r="X129" i="27"/>
  <c r="X204" i="27"/>
  <c r="X330" i="27"/>
  <c r="X315" i="27"/>
  <c r="X136" i="27"/>
  <c r="X196" i="27"/>
  <c r="X172" i="27"/>
  <c r="X262" i="27"/>
  <c r="X173" i="27"/>
  <c r="X312" i="27"/>
  <c r="X269" i="27"/>
  <c r="X14" i="27"/>
  <c r="X201" i="27"/>
  <c r="X40" i="27"/>
  <c r="X257" i="27"/>
  <c r="X116" i="27"/>
  <c r="X274" i="27"/>
  <c r="X27" i="27"/>
  <c r="X108" i="27"/>
  <c r="X15" i="27"/>
  <c r="X96" i="27"/>
  <c r="X270" i="27"/>
  <c r="X16" i="27"/>
  <c r="X88" i="27"/>
  <c r="X194" i="27"/>
  <c r="X307" i="27"/>
  <c r="X302" i="27"/>
  <c r="X333" i="27"/>
  <c r="X188" i="27"/>
  <c r="X229" i="27"/>
  <c r="X278" i="27"/>
  <c r="X198" i="27"/>
  <c r="X243" i="27"/>
  <c r="X120" i="27"/>
  <c r="X197" i="27"/>
  <c r="X144" i="27"/>
  <c r="X235" i="27"/>
  <c r="X150" i="27"/>
  <c r="X149" i="27"/>
  <c r="X28" i="27"/>
  <c r="X152" i="27"/>
  <c r="X280" i="27"/>
  <c r="X207" i="27"/>
  <c r="X296" i="27"/>
  <c r="X311" i="27"/>
  <c r="X143" i="27"/>
  <c r="X104" i="27"/>
  <c r="X308" i="27"/>
  <c r="X335" i="27"/>
  <c r="X246" i="27"/>
  <c r="X334" i="27"/>
  <c r="X199" i="27"/>
  <c r="X248" i="27"/>
  <c r="X286" i="27"/>
  <c r="X190" i="27"/>
  <c r="X332" i="27"/>
  <c r="X54" i="27"/>
  <c r="X206" i="27"/>
  <c r="X158" i="27"/>
  <c r="X310" i="27"/>
  <c r="X100" i="27"/>
  <c r="X337" i="27"/>
  <c r="X338" i="27"/>
  <c r="X109" i="27"/>
  <c r="X230" i="27"/>
  <c r="X231" i="27"/>
  <c r="X81" i="27"/>
  <c r="X49" i="27"/>
  <c r="X48" i="27"/>
  <c r="X325" i="27"/>
  <c r="X175" i="27"/>
  <c r="X127" i="27"/>
  <c r="X238" i="27"/>
  <c r="X287" i="27"/>
  <c r="X284" i="27"/>
  <c r="X141" i="27"/>
  <c r="X176" i="27"/>
  <c r="X219" i="27"/>
  <c r="X161" i="27"/>
  <c r="X133" i="27"/>
  <c r="X21" i="27"/>
  <c r="X301" i="27"/>
  <c r="X326" i="27"/>
  <c r="X233" i="27"/>
  <c r="X8" i="27"/>
  <c r="X130" i="27"/>
  <c r="X304" i="27"/>
  <c r="X268" i="27"/>
  <c r="X146" i="27"/>
  <c r="X271" i="27"/>
  <c r="X244" i="27"/>
  <c r="X217" i="27"/>
  <c r="X329" i="27"/>
  <c r="X225" i="27"/>
  <c r="X2" i="27"/>
  <c r="X142" i="27"/>
  <c r="X273" i="27"/>
  <c r="X283" i="27"/>
  <c r="X241" i="27"/>
  <c r="X272" i="27"/>
  <c r="X23" i="27"/>
  <c r="X17" i="27"/>
  <c r="X3" i="27"/>
  <c r="X294" i="27"/>
  <c r="X265" i="27"/>
  <c r="X87" i="27"/>
  <c r="X187" i="27"/>
  <c r="X327" i="27"/>
  <c r="X37" i="27"/>
  <c r="X106" i="27"/>
  <c r="X18" i="27"/>
  <c r="X328" i="27"/>
  <c r="X110" i="27"/>
  <c r="X254" i="27"/>
  <c r="X216" i="27"/>
  <c r="X12" i="27"/>
  <c r="X128" i="27"/>
  <c r="X151" i="27"/>
  <c r="X266" i="27"/>
  <c r="X4" i="27"/>
  <c r="X336" i="27"/>
  <c r="X89" i="27"/>
  <c r="X13" i="27"/>
  <c r="X122" i="27"/>
  <c r="X223" i="27"/>
  <c r="X220" i="27"/>
  <c r="X260" i="27"/>
  <c r="X157" i="27"/>
  <c r="X111" i="27"/>
  <c r="X303" i="27"/>
  <c r="X320" i="27"/>
  <c r="X148" i="27"/>
  <c r="X138" i="27"/>
  <c r="X276" i="27"/>
  <c r="X226" i="27"/>
  <c r="X277" i="27"/>
  <c r="X247" i="27"/>
  <c r="X118" i="27"/>
  <c r="X290" i="27"/>
  <c r="X214" i="27"/>
  <c r="X255" i="27"/>
  <c r="X250" i="27"/>
  <c r="X139" i="27"/>
  <c r="X97" i="27"/>
  <c r="X95" i="27"/>
  <c r="X200" i="27"/>
  <c r="X160" i="27"/>
  <c r="X331" i="27"/>
  <c r="X135" i="27"/>
  <c r="X249" i="27"/>
  <c r="X92" i="27"/>
  <c r="X22" i="27"/>
  <c r="X43" i="27"/>
  <c r="X234" i="27"/>
  <c r="X279" i="27"/>
  <c r="X41" i="27"/>
  <c r="X156" i="27"/>
  <c r="X242" i="27"/>
  <c r="X191" i="27"/>
  <c r="X50" i="27"/>
  <c r="X218" i="27"/>
  <c r="X47" i="27"/>
  <c r="X299" i="27"/>
  <c r="X91" i="27"/>
  <c r="X245" i="27"/>
  <c r="X5" i="27"/>
  <c r="X281" i="27"/>
  <c r="X321" i="27"/>
  <c r="X227" i="27"/>
  <c r="X236" i="27"/>
  <c r="X239" i="27"/>
  <c r="X295" i="27"/>
  <c r="X29" i="27"/>
  <c r="X258" i="27"/>
  <c r="X124" i="27"/>
  <c r="T35" i="30" l="1"/>
  <c r="S35" i="30"/>
  <c r="R35" i="30"/>
  <c r="Q35" i="30"/>
  <c r="P35" i="30"/>
  <c r="O35" i="30"/>
  <c r="N35" i="30"/>
  <c r="M35" i="30"/>
  <c r="L35" i="30"/>
  <c r="K35" i="30"/>
  <c r="J35" i="30"/>
  <c r="I35" i="30"/>
  <c r="H35" i="30"/>
  <c r="G35" i="30"/>
  <c r="T33" i="30"/>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6" i="30"/>
  <c r="S26" i="30"/>
  <c r="R26" i="30"/>
  <c r="Q26" i="30"/>
  <c r="P26" i="30"/>
  <c r="O26" i="30"/>
  <c r="N26" i="30"/>
  <c r="M26" i="30"/>
  <c r="L26" i="30"/>
  <c r="K26" i="30"/>
  <c r="J26" i="30"/>
  <c r="I26" i="30"/>
  <c r="H26" i="30"/>
  <c r="G26"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6" i="30"/>
  <c r="S6" i="30"/>
  <c r="R6" i="30"/>
  <c r="Q6" i="30"/>
  <c r="P6" i="30"/>
  <c r="O6" i="30"/>
  <c r="N6" i="30"/>
  <c r="M6" i="30"/>
  <c r="L6" i="30"/>
  <c r="K6" i="30"/>
  <c r="J6" i="30"/>
  <c r="I6" i="30"/>
  <c r="H6" i="30"/>
  <c r="G6"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<sst xmlns="http://schemas.openxmlformats.org/spreadsheetml/2006/main" count="1935" uniqueCount="583">
  <si>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</si>
  <si>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</si>
  <si>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</si>
  <si>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</si>
  <si>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</si>
  <si>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</si>
  <si>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</si>
  <si>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</si>
  <si>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</si>
  <si>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</si>
  <si>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</si>
  <si>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</si>
  <si>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</si>
  <si>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</si>
  <si>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</si>
  <si>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</si>
  <si>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</si>
  <si>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</si>
  <si>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</si>
  <si>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</si>
  <si>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</si>
  <si>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</si>
  <si>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</si>
  <si>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</si>
  <si>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</si>
  <si>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</si>
  <si>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</si>
  <si>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</si>
  <si>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</si>
  <si>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</si>
  <si>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</si>
  <si>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</si>
  <si>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</si>
  <si>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</si>
  <si>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</si>
  <si>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</si>
  <si>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</si>
  <si>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</si>
  <si>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</si>
  <si>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</si>
  <si>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</si>
  <si>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</si>
  <si>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</si>
  <si>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</si>
  <si>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</si>
  <si>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</si>
  <si>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</si>
  <si>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</si>
  <si>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</si>
  <si>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</si>
  <si>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</si>
  <si>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</si>
  <si>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</si>
  <si>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</si>
  <si>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</si>
  <si>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</si>
  <si>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</si>
  <si>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</si>
  <si>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</si>
  <si>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</si>
  <si>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</si>
  <si>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</si>
  <si>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</si>
  <si>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</si>
  <si>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</si>
  <si>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</si>
  <si>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</si>
  <si>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</si>
  <si>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</si>
  <si>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</si>
  <si>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</si>
  <si>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</si>
  <si>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</si>
  <si>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</si>
  <si>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</si>
  <si>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</si>
  <si>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</si>
  <si>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</si>
  <si>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</si>
  <si>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</si>
  <si>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</si>
  <si>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</si>
  <si>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</si>
  <si>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</si>
  <si>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</si>
  <si>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</si>
  <si>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</si>
  <si>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</si>
  <si>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</si>
  <si>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</si>
  <si>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</si>
  <si>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</si>
  <si>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</si>
  <si>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</si>
  <si>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</si>
  <si>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</si>
  <si>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</si>
  <si>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</si>
  <si>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</si>
  <si>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</si>
  <si>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</si>
  <si>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</si>
  <si>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</si>
  <si>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</si>
  <si>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</si>
  <si>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</si>
  <si>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</si>
  <si>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</si>
  <si>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</si>
  <si>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</si>
  <si>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</si>
  <si>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</si>
  <si>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</si>
  <si>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</si>
  <si>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</si>
  <si>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</si>
  <si>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</si>
  <si>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</si>
  <si>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</si>
  <si>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</si>
  <si>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</si>
  <si>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</si>
  <si>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</si>
  <si>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</si>
  <si>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</si>
  <si>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</si>
  <si>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</si>
  <si>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</si>
  <si>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</si>
  <si>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</si>
  <si>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</si>
  <si>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</si>
  <si>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</si>
  <si>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</si>
  <si>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</si>
  <si>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</si>
  <si>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</si>
  <si>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</si>
  <si>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</si>
  <si>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</si>
  <si>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</si>
  <si>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</si>
  <si>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</si>
  <si>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</si>
  <si>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</si>
  <si>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</si>
  <si>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</si>
  <si>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</si>
  <si>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</si>
  <si>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</si>
  <si>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</si>
  <si>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</si>
  <si>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</si>
  <si>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</si>
  <si>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</si>
  <si>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</si>
  <si>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</si>
  <si>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</si>
  <si>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</si>
  <si>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</si>
  <si>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</si>
  <si>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</si>
  <si>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</si>
  <si>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</si>
  <si>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</si>
  <si>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</si>
  <si>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</si>
  <si>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</si>
  <si>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</si>
  <si>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</si>
  <si>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</si>
  <si>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</si>
  <si>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</si>
  <si>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</si>
  <si>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</si>
  <si>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</si>
  <si>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</si>
  <si>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</si>
  <si>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</si>
  <si>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</si>
  <si>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</si>
  <si>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</si>
  <si>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</si>
  <si>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</si>
  <si>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</si>
  <si>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</si>
  <si>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</si>
  <si>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</si>
  <si>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</si>
  <si>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</si>
  <si>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</si>
  <si>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</si>
  <si>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</si>
  <si>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</si>
  <si>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</si>
  <si>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</si>
  <si>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</si>
  <si>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</si>
  <si>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</si>
  <si>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</si>
  <si>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</si>
  <si>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</si>
  <si>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</si>
  <si>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</si>
  <si>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</si>
  <si>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</si>
  <si>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</si>
  <si>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</si>
  <si>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</si>
  <si>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</si>
  <si>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</si>
  <si>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</si>
  <si>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</si>
  <si>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</si>
  <si>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</si>
  <si>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</si>
  <si>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</si>
  <si>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</si>
  <si>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</si>
  <si>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</si>
  <si>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</si>
  <si>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</si>
  <si>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</si>
  <si>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</si>
  <si>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</si>
  <si>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</si>
  <si>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</si>
  <si>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</si>
  <si>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</si>
  <si>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</si>
  <si>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</si>
  <si>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</si>
  <si>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</si>
  <si>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</si>
  <si>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</si>
  <si>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</si>
  <si>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</si>
  <si>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</si>
  <si>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</si>
  <si>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</si>
  <si>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</si>
  <si>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</si>
  <si>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</si>
  <si>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</si>
  <si>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</si>
  <si>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</si>
  <si>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</si>
  <si>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</si>
  <si>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</si>
  <si>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</si>
  <si>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</si>
  <si>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</si>
  <si>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</si>
  <si>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</si>
  <si>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</si>
  <si>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</si>
  <si>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</si>
  <si>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</si>
  <si>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</si>
  <si>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</si>
  <si>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</si>
  <si>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</si>
  <si>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</si>
  <si>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</si>
  <si>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</si>
  <si>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</si>
  <si>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</si>
  <si>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</si>
  <si>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</si>
  <si>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</si>
  <si>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</si>
  <si>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</si>
  <si>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</si>
  <si>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</si>
  <si>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</si>
  <si>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</si>
  <si>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</si>
  <si>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</si>
  <si>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</si>
  <si>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</si>
  <si>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</si>
  <si>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</si>
  <si>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</si>
  <si>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</si>
  <si>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</si>
  <si>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</si>
  <si>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</si>
  <si>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</si>
  <si>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</si>
  <si>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</si>
  <si>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</si>
  <si>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</si>
  <si>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</si>
  <si>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</si>
  <si>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</si>
  <si>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</si>
  <si>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</si>
  <si>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</si>
  <si>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</si>
  <si>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</si>
  <si>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</si>
  <si>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</si>
  <si>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</si>
  <si>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</si>
  <si>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</si>
  <si>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</si>
  <si>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</si>
  <si>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</si>
  <si>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</si>
  <si>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</si>
  <si>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</si>
  <si>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</si>
  <si>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</si>
  <si>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</si>
  <si>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</si>
  <si>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</si>
  <si>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</si>
  <si>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</si>
  <si>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</si>
  <si>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</si>
  <si>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</si>
  <si>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</si>
  <si>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</si>
  <si>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</si>
  <si>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</si>
  <si>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</si>
  <si>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</si>
  <si>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</si>
  <si>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</si>
  <si>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</si>
  <si>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</si>
  <si>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</si>
  <si>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</si>
  <si>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</si>
  <si>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</si>
  <si>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</si>
  <si>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</si>
  <si>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</si>
  <si>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</si>
  <si>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</si>
  <si>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</si>
  <si>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</si>
  <si>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</si>
  <si>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</si>
  <si>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</si>
  <si>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</si>
  <si>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</si>
  <si>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</si>
  <si>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</si>
  <si>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</si>
  <si>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</si>
  <si>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</si>
  <si>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</si>
  <si>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</si>
  <si>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</si>
  <si>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</si>
  <si>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</si>
  <si>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</si>
  <si>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</si>
  <si>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</si>
  <si>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</si>
  <si>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</si>
  <si>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</si>
  <si>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</si>
  <si>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</si>
  <si>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</si>
  <si>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</si>
  <si>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</si>
  <si>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</si>
  <si>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</si>
  <si>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</si>
  <si>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</si>
  <si>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</si>
  <si>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</si>
  <si>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</si>
  <si>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</si>
  <si>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</si>
  <si>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</si>
  <si>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</si>
  <si>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</si>
  <si>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</si>
  <si>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</si>
  <si>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</si>
  <si>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</si>
  <si>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</si>
  <si>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</si>
  <si>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</si>
  <si>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</si>
  <si>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</si>
  <si>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</si>
  <si>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</si>
  <si>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</si>
  <si>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</si>
  <si>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</si>
  <si>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</si>
  <si>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</si>
  <si>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</si>
  <si>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</si>
  <si>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</si>
  <si>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</si>
  <si>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</si>
  <si>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</si>
  <si>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</si>
  <si>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</si>
  <si>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</si>
  <si>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</si>
  <si>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</si>
  <si>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</si>
  <si>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</si>
  <si>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</si>
  <si>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</si>
  <si>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</si>
  <si>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</si>
  <si>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</si>
  <si>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</si>
  <si>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</si>
  <si>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</si>
  <si>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</si>
  <si>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</si>
  <si>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</si>
  <si>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</si>
  <si>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</si>
  <si>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</si>
  <si>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</si>
  <si>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</si>
  <si>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</si>
  <si>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</si>
  <si>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</si>
  <si>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</si>
  <si>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</si>
  <si>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</si>
  <si>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</si>
  <si>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</si>
  <si>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</si>
  <si>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</si>
  <si>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</si>
  <si>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</si>
  <si>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</si>
  <si>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</si>
  <si>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</si>
  <si>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</si>
  <si>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</si>
  <si>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</si>
  <si>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</si>
  <si>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</si>
  <si>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</si>
  <si>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</si>
  <si>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</si>
  <si>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</si>
  <si>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</si>
  <si>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</si>
  <si>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</si>
  <si>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</si>
  <si>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</si>
  <si>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</si>
  <si>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</si>
  <si>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</si>
  <si>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</si>
  <si>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</si>
  <si>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</si>
  <si>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</si>
  <si>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</si>
  <si>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</si>
  <si>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</si>
  <si>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</si>
  <si>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</si>
  <si>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</si>
  <si>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</si>
  <si>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</si>
  <si>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</si>
  <si>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</si>
  <si>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</si>
  <si>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</si>
  <si>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</si>
  <si>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</si>
  <si>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</si>
  <si>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</si>
  <si>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</si>
  <si>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</si>
  <si>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</si>
  <si>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</si>
  <si>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</si>
  <si>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</si>
  <si>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</si>
  <si>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</si>
  <si>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</si>
  <si>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</si>
  <si>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</si>
  <si>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</si>
  <si>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</si>
  <si>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</si>
  <si>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</si>
  <si>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</si>
  <si>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</si>
  <si>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</si>
  <si>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</si>
  <si>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</si>
  <si>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</si>
  <si>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</si>
  <si>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</si>
  <si>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</si>
  <si>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</si>
  <si>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</si>
  <si>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</si>
  <si>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</si>
  <si>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</si>
  <si>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</si>
  <si>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</si>
  <si>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</si>
  <si>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</si>
  <si>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</si>
  <si>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</si>
  <si>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</si>
  <si>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</si>
  <si>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</si>
  <si>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</si>
  <si>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</si>
  <si>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</si>
  <si>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</si>
  <si>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</si>
  <si>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</si>
  <si>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</si>
  <si>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</si>
  <si>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</si>
  <si>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</si>
  <si>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</si>
  <si>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</si>
  <si>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</si>
  <si>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</si>
  <si>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</si>
  <si>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</si>
  <si>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</si>
  <si>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</si>
  <si>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</si>
  <si>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</si>
  <si>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</si>
  <si>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</si>
  <si>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</si>
  <si>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</si>
  <si>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</si>
  <si>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</si>
  <si>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</si>
  <si>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</si>
  <si>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</si>
  <si>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</si>
  <si>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</si>
  <si>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</si>
  <si>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</si>
  <si>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</si>
  <si>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</si>
  <si>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</si>
  <si>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</si>
  <si>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</si>
  <si>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</si>
  <si>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</si>
  <si>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</si>
  <si>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</si>
  <si>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</si>
  <si>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</si>
  <si>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</si>
  <si>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</si>
  <si>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</si>
  <si>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</si>
  <si>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</si>
  <si>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</si>
  <si>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</si>
  <si>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</si>
  <si>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</si>
  <si>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</si>
  <si>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</si>
  <si>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</si>
  <si>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</si>
  <si>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</si>
  <si>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</si>
  <si>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</si>
  <si>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</si>
  <si>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</si>
  <si>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</si>
  <si>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</si>
  <si>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</si>
  <si>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</si>
  <si>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</si>
  <si>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localAreaRotationLists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</si>
</sst>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4" fillId="0" borderId="0"/>
  </cellStyleXfs>
  <cellXfs count="151">
    <xf numFmtId="0" fontId="0" fillId="0" borderId="0" xfId="0"/>
    <xf numFmtId="0" fontId="48" fillId="0" borderId="0" xfId="719" applyFont="1" applyAlignment="1">
      <alignment vertical="top"/>
    </xf>
    <xf numFmtId="0" fontId="48" fillId="0" borderId="0" xfId="719" applyFont="1" applyAlignment="1">
      <alignment vertical="top" wrapText="1"/>
    </xf>
    <xf numFmtId="0" fontId="44" fillId="0" borderId="0" xfId="719"/>
    <xf numFmtId="0" fontId="44" fillId="0" borderId="0" xfId="719" applyNumberFormat="1" applyAlignment="1">
      <alignment vertical="top"/>
    </xf>
    <xf numFmtId="0" fontId="44" fillId="0" borderId="0" xfId="719" applyAlignment="1">
      <alignment vertical="top"/>
    </xf>
    <xf numFmtId="0" fontId="44" fillId="0" borderId="0" xfId="719" applyAlignment="1">
      <alignment vertical="top" wrapText="1"/>
    </xf>
    <xf numFmtId="0" fontId="43" fillId="0" borderId="0" xfId="719" applyFont="1"/>
    <xf numFmtId="0" fontId="0" fillId="0" borderId="0" xfId="0" applyAlignment="1">
      <alignment vertical="top"/>
    </xf>
    <xf numFmtId="0" fontId="48" fillId="0" borderId="0" xfId="0" applyFont="1" applyAlignment="1">
      <alignment vertical="top"/>
    </xf>
    <xf numFmtId="0" fontId="42" fillId="0" borderId="0" xfId="719" applyFont="1"/>
    <xf numFmtId="0" fontId="42" fillId="0" borderId="0" xfId="719" applyFont="1" applyAlignment="1">
      <alignment vertical="top"/>
    </xf>
    <xf numFmtId="0" fontId="44" fillId="0" borderId="0" xfId="719" applyFill="1" applyAlignment="1">
      <alignment vertical="top" wrapText="1"/>
    </xf>
    <xf numFmtId="0" fontId="44" fillId="0" borderId="0" xfId="719" applyNumberFormat="1" applyFill="1"/>
    <xf numFmtId="0" fontId="0" fillId="0" borderId="0" xfId="0" applyNumberFormat="1" applyAlignment="1">
      <alignment vertical="top"/>
    </xf>
    <xf numFmtId="0" fontId="41" fillId="0" borderId="0" xfId="719" applyFont="1"/>
    <xf numFmtId="0" fontId="41" fillId="0" borderId="0" xfId="719" applyFont="1" applyFill="1"/>
    <xf numFmtId="0" fontId="44" fillId="0" borderId="0" xfId="719" applyFill="1"/>
    <xf numFmtId="0" fontId="44" fillId="0" borderId="0" xfId="719" applyNumberFormat="1" applyFill="1" applyAlignment="1">
      <alignment vertical="top"/>
    </xf>
    <xf numFmtId="0" fontId="39" fillId="0" borderId="0" xfId="719" applyFont="1" applyFill="1" applyAlignment="1">
      <alignment vertical="top"/>
    </xf>
    <xf numFmtId="0" fontId="38" fillId="0" borderId="0" xfId="719" applyFont="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7" fillId="0" borderId="0" xfId="719" applyFont="1" applyFill="1" applyAlignment="1">
      <alignment vertical="top" wrapText="1"/>
    </xf>
    <xf numFmtId="0" fontId="37" fillId="0" borderId="0" xfId="719" applyNumberFormat="1" applyFont="1" applyFill="1" applyAlignment="1">
      <alignment vertical="top"/>
    </xf>
    <xf numFmtId="0" fontId="36" fillId="0" borderId="0" xfId="719" applyFont="1" applyFill="1" applyAlignment="1">
      <alignment vertical="top"/>
    </xf>
    <xf numFmtId="0" fontId="36" fillId="0" borderId="0" xfId="719" applyFont="1" applyFill="1" applyAlignment="1">
      <alignment vertical="top" wrapText="1"/>
    </xf>
    <xf numFmtId="0" fontId="35" fillId="0" borderId="0" xfId="719" applyFont="1" applyFill="1" applyAlignment="1">
      <alignment vertical="top"/>
    </xf>
    <xf numFmtId="0" fontId="35" fillId="0" borderId="0" xfId="719" applyFont="1" applyAlignment="1">
      <alignment vertical="top"/>
    </xf>
    <xf numFmtId="0" fontId="35" fillId="0" borderId="0" xfId="719" applyFont="1" applyFill="1"/>
    <xf numFmtId="0" fontId="34" fillId="0" borderId="0" xfId="719" applyFont="1" applyFill="1" applyAlignment="1">
      <alignment vertical="top"/>
    </xf>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0" fontId="29" fillId="0" borderId="0" xfId="719" applyFont="1" applyAlignment="1">
      <alignment vertical="top"/>
    </xf>
    <xf numFmtId="0" fontId="29" fillId="0" borderId="0" xfId="719" applyNumberFormat="1" applyFont="1" applyAlignment="1">
      <alignment vertical="top"/>
    </xf>
    <xf numFmtId="0" fontId="29" fillId="0" borderId="0" xfId="719" applyFont="1" applyFill="1"/>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0" fontId="25" fillId="0" borderId="0" xfId="719" applyNumberFormat="1" applyFont="1" applyAlignment="1">
      <alignment vertical="top"/>
    </xf>
    <xf numFmtId="0" fontId="23" fillId="0" borderId="0" xfId="719" applyFont="1" applyAlignment="1">
      <alignment vertical="top"/>
    </xf>
    <xf numFmtId="0" fontId="23" fillId="0" borderId="0" xfId="719" applyFont="1" applyFill="1"/>
    <xf numFmtId="0" fontId="23" fillId="0" borderId="0" xfId="719" applyNumberFormat="1" applyFont="1" applyAlignment="1">
      <alignment vertical="top"/>
    </xf>
    <xf numFmtId="0" fontId="23" fillId="0" borderId="0" xfId="719" applyFont="1"/>
    <xf numFmtId="49" fontId="48" fillId="0" borderId="0" xfId="719" applyNumberFormat="1" applyFont="1" applyAlignment="1">
      <alignment vertical="top" wrapText="1"/>
    </xf>
    <xf numFmtId="49" fontId="44" fillId="0" borderId="0" xfId="719" applyNumberFormat="1" applyFill="1" applyAlignment="1">
      <alignment vertical="top" wrapText="1"/>
    </xf>
    <xf numFmtId="49" fontId="27" fillId="0" borderId="0" xfId="719" applyNumberFormat="1" applyFont="1" applyFill="1" applyAlignment="1">
      <alignment vertical="top" wrapText="1"/>
    </xf>
    <xf numFmtId="49" fontId="26" fillId="0" borderId="0" xfId="719" applyNumberFormat="1" applyFont="1" applyFill="1" applyAlignment="1">
      <alignment vertical="top" wrapText="1"/>
    </xf>
    <xf numFmtId="49" fontId="24" fillId="0" borderId="0" xfId="719" applyNumberFormat="1" applyFont="1" applyFill="1" applyAlignment="1">
      <alignment vertical="top" wrapText="1"/>
    </xf>
    <xf numFmtId="49" fontId="39" fillId="0" borderId="0" xfId="719" applyNumberFormat="1" applyFont="1" applyFill="1" applyAlignment="1">
      <alignment vertical="top" wrapText="1"/>
    </xf>
    <xf numFmtId="49" fontId="28" fillId="0" borderId="0" xfId="719" applyNumberFormat="1" applyFont="1" applyAlignment="1">
      <alignment vertical="top" wrapText="1"/>
    </xf>
    <xf numFmtId="49" fontId="28" fillId="0" borderId="0" xfId="719" applyNumberFormat="1" applyFont="1" applyFill="1" applyAlignment="1">
      <alignment vertical="top" wrapText="1"/>
    </xf>
    <xf numFmtId="49" fontId="44" fillId="0" borderId="0" xfId="719" applyNumberFormat="1" applyAlignment="1">
      <alignment vertical="top" wrapText="1"/>
    </xf>
    <xf numFmtId="0" fontId="22" fillId="0" borderId="0" xfId="719" applyFont="1"/>
    <xf numFmtId="0" fontId="22" fillId="0" borderId="0" xfId="719" applyFont="1" applyFill="1"/>
    <xf numFmtId="0" fontId="21" fillId="0" borderId="0" xfId="719" applyFont="1" applyAlignment="1">
      <alignment vertical="top"/>
    </xf>
    <xf numFmtId="0" fontId="21" fillId="0" borderId="0" xfId="719" applyFont="1" applyFill="1"/>
    <xf numFmtId="0" fontId="21" fillId="0" borderId="0" xfId="719" applyNumberFormat="1" applyFont="1" applyAlignment="1">
      <alignment vertical="top"/>
    </xf>
    <xf numFmtId="49" fontId="20" fillId="0" borderId="0" xfId="719" applyNumberFormat="1" applyFont="1" applyFill="1" applyAlignment="1">
      <alignment vertical="top" wrapText="1"/>
    </xf>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NumberFormat="1" applyFont="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0" fontId="17" fillId="0" borderId="0" xfId="719" applyFont="1" applyFill="1" applyAlignment="1">
      <alignment vertical="top"/>
    </xf>
    <xf numFmtId="0" fontId="16" fillId="0" borderId="0" xfId="719" applyFont="1" applyFill="1" applyAlignment="1">
      <alignment vertical="top"/>
    </xf>
    <xf numFmtId="0" fontId="16" fillId="0" borderId="0" xfId="719" applyFont="1" applyFill="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0" fontId="44" fillId="0" borderId="0" xfId="719" applyFill="1" applyAlignment="1">
      <alignment vertical="top"/>
    </xf>
    <xf numFmtId="0" fontId="13" fillId="0" borderId="0" xfId="719" applyFont="1" applyFill="1" applyAlignment="1">
      <alignment vertical="top"/>
    </xf>
    <xf numFmtId="49" fontId="13" fillId="0" borderId="0" xfId="719" applyNumberFormat="1" applyFont="1" applyFill="1" applyAlignment="1">
      <alignment vertical="top" wrapText="1"/>
    </xf>
    <xf numFmtId="0" fontId="47" fillId="0" borderId="0" xfId="0" applyFont="1" applyAlignment="1">
      <alignment vertical="top"/>
    </xf>
    <xf numFmtId="49" fontId="20" fillId="0" borderId="0" xfId="719" applyNumberFormat="1" applyFont="1" applyAlignment="1">
      <alignment vertical="top" wrapText="1"/>
    </xf>
    <xf numFmtId="0" fontId="37" fillId="0" borderId="0" xfId="719" applyFont="1" applyAlignment="1">
      <alignment vertical="top"/>
    </xf>
    <xf numFmtId="0" fontId="27" fillId="0" borderId="0" xfId="719" applyFont="1" applyAlignment="1">
      <alignment vertical="top"/>
    </xf>
    <xf numFmtId="49" fontId="18" fillId="0" borderId="0" xfId="719" applyNumberFormat="1" applyFont="1" applyAlignment="1">
      <alignment vertical="top" wrapText="1"/>
    </xf>
    <xf numFmtId="0" fontId="20" fillId="0" borderId="0" xfId="719" applyFont="1" applyAlignment="1">
      <alignment vertical="top"/>
    </xf>
    <xf numFmtId="0" fontId="39" fillId="0" borderId="0" xfId="719" applyFont="1" applyAlignment="1">
      <alignment vertical="top"/>
    </xf>
    <xf numFmtId="0" fontId="38" fillId="0" borderId="0" xfId="719" applyFont="1" applyAlignment="1">
      <alignment vertical="top"/>
    </xf>
    <xf numFmtId="0" fontId="13" fillId="0" borderId="0" xfId="719" applyNumberFormat="1" applyFont="1" applyFill="1" applyAlignment="1">
      <alignment vertical="top"/>
    </xf>
    <xf numFmtId="0" fontId="13" fillId="0" borderId="0" xfId="719" applyFont="1" applyFill="1" applyAlignment="1">
      <alignment vertical="top" wrapText="1"/>
    </xf>
    <xf numFmtId="0" fontId="12" fillId="0" borderId="0" xfId="719" applyFont="1" applyFill="1" applyAlignment="1">
      <alignment vertical="top"/>
    </xf>
    <xf numFmtId="0" fontId="11" fillId="0" borderId="0" xfId="719" applyNumberFormat="1" applyFont="1" applyAlignment="1">
      <alignment vertical="top"/>
    </xf>
    <xf numFmtId="0" fontId="11" fillId="0" borderId="0" xfId="719" applyFont="1"/>
    <xf numFmtId="0" fontId="13" fillId="0" borderId="0" xfId="719" applyFont="1" applyAlignment="1">
      <alignment vertical="top"/>
    </xf>
    <xf numFmtId="49" fontId="13" fillId="0" borderId="0" xfId="719" applyNumberFormat="1" applyFont="1" applyAlignment="1">
      <alignment vertical="top" wrapText="1"/>
    </xf>
    <xf numFmtId="49" fontId="27" fillId="0" borderId="0" xfId="719" applyNumberFormat="1" applyFont="1" applyAlignment="1">
      <alignment horizontal="fill" vertical="top" wrapText="1"/>
    </xf>
    <xf numFmtId="0" fontId="36" fillId="0" borderId="0" xfId="719" applyFont="1" applyAlignment="1">
      <alignment vertical="top"/>
    </xf>
    <xf numFmtId="0" fontId="19" fillId="0" borderId="0" xfId="719" applyFont="1" applyAlignment="1">
      <alignment vertical="top"/>
    </xf>
    <xf numFmtId="49" fontId="27" fillId="0" borderId="0" xfId="719" applyNumberFormat="1" applyFont="1" applyAlignment="1">
      <alignment vertical="top" wrapText="1"/>
    </xf>
    <xf numFmtId="0" fontId="30" fillId="0" borderId="0" xfId="719" applyFont="1" applyAlignment="1">
      <alignment vertical="top"/>
    </xf>
    <xf numFmtId="0" fontId="26" fillId="0" borderId="0" xfId="719" applyFont="1" applyAlignment="1">
      <alignment vertical="top"/>
    </xf>
    <xf numFmtId="49" fontId="26" fillId="0" borderId="0" xfId="719" applyNumberFormat="1" applyFont="1" applyAlignment="1">
      <alignment vertical="top" wrapText="1"/>
    </xf>
    <xf numFmtId="0" fontId="15" fillId="0" borderId="0" xfId="719" applyFont="1" applyAlignment="1">
      <alignment vertical="top"/>
    </xf>
    <xf numFmtId="49" fontId="19" fillId="0" borderId="0" xfId="719" applyNumberFormat="1" applyFont="1" applyAlignment="1">
      <alignment vertical="top" wrapText="1"/>
    </xf>
    <xf numFmtId="49" fontId="17" fillId="0" borderId="0" xfId="719" applyNumberFormat="1" applyFont="1" applyAlignment="1">
      <alignment vertical="top" wrapText="1"/>
    </xf>
    <xf numFmtId="49" fontId="23" fillId="0" borderId="0" xfId="719" applyNumberFormat="1" applyFont="1" applyAlignment="1">
      <alignment vertical="top" wrapText="1"/>
    </xf>
    <xf numFmtId="49" fontId="25" fillId="0" borderId="0" xfId="719" applyNumberFormat="1" applyFont="1" applyAlignment="1">
      <alignment vertical="top" wrapText="1"/>
    </xf>
    <xf numFmtId="0" fontId="25" fillId="0" borderId="0" xfId="719" applyFont="1" applyAlignment="1">
      <alignment vertical="top"/>
    </xf>
    <xf numFmtId="49" fontId="37" fillId="0" borderId="0" xfId="719" applyNumberFormat="1" applyFont="1" applyAlignment="1">
      <alignment vertical="top" wrapText="1"/>
    </xf>
    <xf numFmtId="49" fontId="33" fillId="0" borderId="0" xfId="719" applyNumberFormat="1" applyFont="1" applyAlignment="1">
      <alignment vertical="top" wrapText="1"/>
    </xf>
    <xf numFmtId="49" fontId="39" fillId="0" borderId="0" xfId="719" applyNumberFormat="1" applyFont="1" applyAlignment="1">
      <alignment vertical="top" wrapText="1"/>
    </xf>
    <xf numFmtId="0" fontId="32" fillId="0" borderId="0" xfId="719" applyFont="1" applyAlignment="1">
      <alignment vertical="top"/>
    </xf>
    <xf numFmtId="49" fontId="32" fillId="0" borderId="0" xfId="719" applyNumberFormat="1" applyFont="1" applyAlignment="1">
      <alignment horizontal="fill" vertical="top" wrapText="1"/>
    </xf>
    <xf numFmtId="0" fontId="28" fillId="0" borderId="0" xfId="719" applyFont="1" applyAlignment="1">
      <alignment vertical="top"/>
    </xf>
    <xf numFmtId="0" fontId="40" fillId="0" borderId="0" xfId="719" applyFont="1" applyAlignment="1">
      <alignment vertical="top"/>
    </xf>
    <xf numFmtId="49" fontId="40" fillId="0" borderId="0" xfId="719" applyNumberFormat="1" applyFont="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49" fontId="10" fillId="0" borderId="0" xfId="719" applyNumberFormat="1" applyFont="1" applyAlignment="1">
      <alignment vertical="top" wrapText="1"/>
    </xf>
    <xf numFmtId="0" fontId="10" fillId="0" borderId="0" xfId="719" applyNumberFormat="1" applyFont="1" applyFill="1" applyAlignment="1">
      <alignment vertical="top"/>
    </xf>
    <xf numFmtId="0" fontId="10" fillId="0" borderId="0" xfId="719" applyFont="1" applyFill="1" applyAlignment="1">
      <alignment vertical="top" wrapText="1"/>
    </xf>
    <xf numFmtId="0" fontId="10" fillId="0" borderId="0" xfId="719" applyFont="1" applyAlignment="1">
      <alignment vertical="top"/>
    </xf>
    <xf numFmtId="0" fontId="9" fillId="0" borderId="0" xfId="719" applyFont="1"/>
    <xf numFmtId="0" fontId="44" fillId="0" borderId="0" xfId="719" applyAlignment="1"/>
    <xf numFmtId="0" fontId="9" fillId="0" borderId="0" xfId="719" applyNumberFormat="1" applyFont="1" applyAlignment="1">
      <alignment vertical="top"/>
    </xf>
    <xf numFmtId="0" fontId="9" fillId="0" borderId="0" xfId="719" applyFont="1" applyAlignment="1">
      <alignment vertical="top"/>
    </xf>
    <xf numFmtId="0" fontId="9" fillId="0" borderId="0" xfId="719" applyFont="1" applyAlignment="1"/>
    <xf numFmtId="0" fontId="9" fillId="0" borderId="0" xfId="719" applyFont="1" applyFill="1" applyAlignment="1">
      <alignment vertical="top"/>
    </xf>
    <xf numFmtId="49" fontId="9" fillId="0" borderId="0" xfId="719" applyNumberFormat="1" applyFont="1" applyFill="1" applyAlignment="1">
      <alignment vertical="top" wrapText="1"/>
    </xf>
    <xf numFmtId="0" fontId="8" fillId="0" borderId="0" xfId="719" applyFont="1" applyFill="1" applyAlignment="1">
      <alignment vertical="top"/>
    </xf>
    <xf numFmtId="0" fontId="8" fillId="0" borderId="0" xfId="719" applyFont="1" applyFill="1" applyAlignment="1">
      <alignment vertical="top" wrapText="1"/>
    </xf>
    <xf numFmtId="0" fontId="8" fillId="0" borderId="0" xfId="719" applyNumberFormat="1" applyFont="1" applyFill="1" applyAlignment="1">
      <alignment vertical="top"/>
    </xf>
    <xf numFmtId="0" fontId="7" fillId="0" borderId="0" xfId="719" applyFont="1" applyFill="1" applyAlignment="1">
      <alignment vertical="top"/>
    </xf>
    <xf numFmtId="49" fontId="7" fillId="0" borderId="0" xfId="719" applyNumberFormat="1" applyFont="1" applyFill="1" applyAlignment="1">
      <alignment vertical="top" wrapText="1"/>
    </xf>
    <xf numFmtId="49" fontId="6" fillId="0" borderId="0" xfId="719" applyNumberFormat="1" applyFont="1" applyFill="1" applyAlignment="1">
      <alignment vertical="top" wrapText="1"/>
    </xf>
    <xf numFmtId="49" fontId="6" fillId="0" borderId="0" xfId="719" applyNumberFormat="1" applyFont="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0" fontId="4" fillId="0" borderId="0" xfId="719" applyFont="1" applyFill="1" applyAlignment="1">
      <alignment vertical="top"/>
    </xf>
    <xf numFmtId="0" fontId="4" fillId="0" borderId="0" xfId="719" applyFont="1" applyFill="1" applyAlignment="1">
      <alignment vertical="top" wrapText="1"/>
    </xf>
    <xf numFmtId="49" fontId="4" fillId="0" borderId="0" xfId="719" applyNumberFormat="1" applyFont="1" applyFill="1" applyAlignment="1">
      <alignment vertical="top" wrapText="1"/>
    </xf>
    <xf numFmtId="0" fontId="3" fillId="0" borderId="0" xfId="719" applyFont="1" applyFill="1" applyAlignment="1">
      <alignment vertical="top"/>
    </xf>
    <xf numFmtId="49" fontId="3" fillId="0" borderId="0" xfId="719" applyNumberFormat="1" applyFont="1" applyFill="1" applyAlignment="1">
      <alignment vertical="top" wrapText="1"/>
    </xf>
    <xf numFmtId="49" fontId="3" fillId="0" borderId="0" xfId="719" applyNumberFormat="1" applyFont="1" applyAlignment="1">
      <alignment vertical="top" wrapText="1"/>
    </xf>
    <xf numFmtId="0" fontId="3" fillId="0" borderId="0" xfId="719" applyFont="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Alignment="1">
      <alignment vertical="top"/>
    </xf>
    <xf numFmtId="49" fontId="2" fillId="0" borderId="0" xfId="719" applyNumberFormat="1" applyFont="1" applyFill="1" applyAlignment="1">
      <alignment vertical="top" wrapText="1"/>
    </xf>
    <xf numFmtId="0" fontId="2" fillId="0" borderId="0" xfId="719" applyFont="1" applyFill="1" applyAlignment="1">
      <alignment vertical="top"/>
    </xf>
    <xf numFmtId="0" fontId="2" fillId="0" borderId="0" xfId="719" applyFont="1" applyFill="1" applyAlignment="1">
      <alignment vertical="top" wrapText="1"/>
    </xf>
    <xf numFmtId="49" fontId="2" fillId="0" borderId="0" xfId="719" applyNumberFormat="1" applyFont="1" applyAlignment="1">
      <alignment vertical="top" wrapText="1"/>
    </xf>
    <xf numFmtId="0" fontId="2" fillId="0" borderId="0" xfId="719" applyFont="1"/>
    <xf numFmtId="0" fontId="2" fillId="0" borderId="0" xfId="719" applyNumberFormat="1" applyFont="1" applyAlignment="1">
      <alignment vertical="top"/>
    </xf>
    <xf numFmtId="0" fontId="1" fillId="0" borderId="0" xfId="719" applyFont="1" applyFill="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9" totalsRowCount="1" headerRowDxfId="73" dataDxfId="72" totalsRowDxfId="71">
  <autoFilter ref="A1:Y338"/>
  <tableColumns count="25">
    <tableColumn id="1" name="!Table" totalsRowLabel="Total" dataDxfId="70" totalsRowDxfId="69" dataCellStyle="Normal 2"/>
    <tableColumn id="2" name="!Type" dataDxfId="68" totalsRowDxfId="67" dataCellStyle="Normal 2"/>
    <tableColumn id="6" name="!Length" dataDxfId="66" totalsRowDxfId="65" dataCellStyle="Normal 2"/>
    <tableColumn id="3" name="!Name" dataDxfId="64" totalsRowDxfId="63" dataCellStyle="Normal 2"/>
    <tableColumn id="4" name="!Description" dataDxfId="62" totalsRowDxfId="61" dataCellStyle="Normal 2"/>
    <tableColumn id="7" name="!FK" dataDxfId="60" totalsRowDxfId="59" dataCellStyle="Normal 2"/>
    <tableColumn id="10" name="!Required" dataDxfId="58" totalsRowDxfId="57" dataCellStyle="Normal 2"/>
    <tableColumn id="26" name="!Unique" dataDxfId="56" totalsRowDxfId="55" dataCellStyle="Normal 2"/>
    <tableColumn id="9" name="File" dataDxfId="54" totalsRowDxfId="53">
      <calculatedColumnFormula>IF(LEN(A2) &gt; 0,"Defs","-")</calculatedColumnFormula>
    </tableColumn>
    <tableColumn id="5" name="boolean" dataDxfId="52" totalsRowDxfId="51">
      <calculatedColumnFormula>IF(Table2[[#This Row],[!Type]]=J$1, J$1,"rg:None")</calculatedColumnFormula>
    </tableColumn>
    <tableColumn id="23" name="binary" dataDxfId="50" totalsRowDxfId="49">
      <calculatedColumnFormula>IF(Table2[[#This Row],[!Type]]=K$1, K$1,"rg:None")</calculatedColumnFormula>
    </tableColumn>
    <tableColumn id="8" name="datetime" dataDxfId="48" totalsRowDxfId="47">
      <calculatedColumnFormula>IF(Table2[[#This Row],[!Type]]=L$1, L$1,"rg:None")</calculatedColumnFormula>
    </tableColumn>
    <tableColumn id="11" name="id" dataDxfId="46" totalsRowDxfId="45">
      <calculatedColumnFormula>IF(Table2[[#This Row],[!Type]]=M$1, M$1,"rg:None")</calculatedColumnFormula>
    </tableColumn>
    <tableColumn id="12" name="integer" dataDxfId="44" totalsRowDxfId="43">
      <calculatedColumnFormula>IF(Table2[[#This Row],[!Type]]=N$1, N$1,"rg:None")</calculatedColumnFormula>
    </tableColumn>
    <tableColumn id="21" name="float" dataDxfId="42" totalsRowDxfId="41">
      <calculatedColumnFormula>IF(Table2[[#This Row],[!Type]]=O$1, O$1,"rg:None")</calculatedColumnFormula>
    </tableColumn>
    <tableColumn id="13" name="links" dataDxfId="40" totalsRowDxfId="39">
      <calculatedColumnFormula>IF(Table2[[#This Row],[!Type]]=P$1, P$1,"rg:None")</calculatedColumnFormula>
    </tableColumn>
    <tableColumn id="14" name="ref" dataDxfId="38" totalsRowDxfId="37">
      <calculatedColumnFormula>IF(Table2[[#This Row],[!Type]]=Q$1, Q$1,"rg:None")</calculatedColumnFormula>
    </tableColumn>
    <tableColumn id="15" name="string" dataDxfId="36" totalsRowDxfId="35">
      <calculatedColumnFormula>IF(Table2[[#This Row],[!Type]]=R$1, R$1,"rg:None")</calculatedColumnFormula>
    </tableColumn>
    <tableColumn id="16" name="table" dataDxfId="34" totalsRowDxfId="33">
      <calculatedColumnFormula>IF(Table2[[#This Row],[!Type]]=S$1, S$1,"rg:None")</calculatedColumnFormula>
    </tableColumn>
    <tableColumn id="17" name="Length" dataDxfId="32" totalsRowDxfId="31">
      <calculatedColumnFormula>IF(LEN(Table2[[#This Row],[!Length]]) &gt; 0, Table2[[#This Row],[!Length]], "rg:None")</calculatedColumnFormula>
    </tableColumn>
    <tableColumn id="18" name="Name" dataDxfId="30" totalsRowDxfId="29">
      <calculatedColumnFormula>IF(LEN(Table2[[#This Row],[!Name]]) &gt; 0, Table2[[#This Row],[!Name]], "rg:None")</calculatedColumnFormula>
    </tableColumn>
    <tableColumn id="19" name="Description" dataDxfId="28" totalsRowDxfId="27">
      <calculatedColumnFormula>IF(LEN(Table2[[#This Row],[!Description]]) &gt; 0, Table2[[#This Row],[!Description]], "rg:None")</calculatedColumnFormula>
    </tableColumn>
    <tableColumn id="20" name="RefDef" dataDxfId="26" totalsRowDxfId="25">
      <calculatedColumnFormula>IF(LEN(Table2[[#This Row],[!FK]])&gt;0,Table2[[#This Row],[!FK]],"rg:None")</calculatedColumnFormula>
    </tableColumn>
    <tableColumn id="22" name="Required" dataDxfId="24" totalsRowDxfId="23">
      <calculatedColumnFormula>IF(LEN(concatif2(A:A,Table2[[#This Row],[!Table]],G:G,"Y",D:D,",")) &gt; 0,"rg:[ { 'req' : '"&amp;concatif2(A:A,Table2[[#This Row],[!Table]],G:G,"Y",D:D,"' }, { 'req': '")&amp;"'} ]","rg:[]")</calculatedColumnFormula>
    </tableColumn>
    <tableColumn id="27" name="Unique" totalsRowFunction="count" dataDxfId="22" totalsRow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0" totalsRowShown="0" headerRowDxfId="20" dataDxfId="19">
  <autoFilter ref="A1:T70"/>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9"/>
  <sheetViews>
    <sheetView tabSelected="1" zoomScale="80" zoomScaleNormal="8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2" t="s">
        <v>37</v>
      </c>
      <c r="E4" s="146" t="s">
        <v>577</v>
      </c>
      <c r="F4" s="142"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2" t="s">
        <v>576</v>
      </c>
      <c r="E21" s="130" t="s">
        <v>539</v>
      </c>
      <c r="F21" s="142"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2" t="s">
        <v>576</v>
      </c>
      <c r="E91" s="130" t="s">
        <v>544</v>
      </c>
      <c r="F91" s="142"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3"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4" t="s">
        <v>182</v>
      </c>
      <c r="B165" s="144" t="s">
        <v>9</v>
      </c>
      <c r="C165" s="72"/>
      <c r="D165" s="144" t="s">
        <v>572</v>
      </c>
      <c r="E165" s="143"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2" t="s">
        <v>570</v>
      </c>
      <c r="B172" s="5" t="s">
        <v>4</v>
      </c>
      <c r="D172" s="142" t="s">
        <v>570</v>
      </c>
      <c r="E172" s="146"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2"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2" t="s">
        <v>570</v>
      </c>
      <c r="B174" s="136" t="s">
        <v>8</v>
      </c>
      <c r="C174" s="72"/>
      <c r="D174" s="144" t="s">
        <v>181</v>
      </c>
      <c r="E174" s="47"/>
      <c r="F174" s="145"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2"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2"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4" t="s">
        <v>575</v>
      </c>
      <c r="B177" s="124" t="s">
        <v>4</v>
      </c>
      <c r="C177" s="72"/>
      <c r="D177" s="144"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4"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4" t="s">
        <v>575</v>
      </c>
      <c r="B179" s="124" t="s">
        <v>8</v>
      </c>
      <c r="C179" s="72"/>
      <c r="D179" s="144" t="s">
        <v>576</v>
      </c>
      <c r="E179" s="129" t="s">
        <v>539</v>
      </c>
      <c r="F179" s="145"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4" t="s">
        <v>575</v>
      </c>
      <c r="B180" s="144" t="s">
        <v>8</v>
      </c>
      <c r="C180" s="72"/>
      <c r="D180" s="144" t="s">
        <v>173</v>
      </c>
      <c r="E180" s="47"/>
      <c r="F180" s="145"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4"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4"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4"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4"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4"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4"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2" t="s">
        <v>579</v>
      </c>
      <c r="E190" s="146"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6"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28.8" x14ac:dyDescent="0.3">
      <c r="A227" s="81" t="s">
        <v>172</v>
      </c>
      <c r="B227" s="5" t="s">
        <v>4</v>
      </c>
      <c r="D227" s="81" t="s">
        <v>172</v>
      </c>
      <c r="E227" s="76" t="s">
        <v>367</v>
      </c>
      <c r="F227" s="5" t="s">
        <v>5</v>
      </c>
      <c r="G227" s="4"/>
      <c r="H227" s="4"/>
      <c r="I227" s="5" t="str">
        <f t="shared" ref="I227:I242"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Contact</v>
      </c>
      <c r="V227" s="4" t="str">
        <f>IF(LEN(Table2[[#This Row],[!Description]]) &gt; 0, Table2[[#This Row],[!Description]], "rg:None")</f>
        <v>A person and their related contact information linked to one or more entities in the system. For examples, there are contacts for Owners, Projects.</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172</v>
      </c>
      <c r="B228" s="3" t="s">
        <v>6</v>
      </c>
      <c r="C228" s="3"/>
      <c r="D228" s="3" t="s">
        <v>6</v>
      </c>
      <c r="E228" s="118" t="s">
        <v>309</v>
      </c>
      <c r="F228" s="3" t="s">
        <v>5</v>
      </c>
      <c r="G228" s="4" t="s">
        <v>62</v>
      </c>
      <c r="H228" s="119" t="s">
        <v>62</v>
      </c>
      <c r="I228" s="5"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x14ac:dyDescent="0.3">
      <c r="A229" s="117" t="s">
        <v>172</v>
      </c>
      <c r="B229" s="3" t="s">
        <v>7</v>
      </c>
      <c r="C229" s="3">
        <v>50</v>
      </c>
      <c r="D229" s="3" t="s">
        <v>16</v>
      </c>
      <c r="E229" s="118" t="s">
        <v>162</v>
      </c>
      <c r="F229" s="3" t="s">
        <v>5</v>
      </c>
      <c r="G229" s="119"/>
      <c r="H229" s="4"/>
      <c r="I229" s="5"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givenName</v>
      </c>
      <c r="V229" s="4" t="str">
        <f>IF(LEN(Table2[[#This Row],[!Description]]) &gt; 0, Table2[[#This Row],[!Description]], "rg:None")</f>
        <v>The given 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172</v>
      </c>
      <c r="B230" s="3" t="s">
        <v>7</v>
      </c>
      <c r="C230" s="3">
        <v>50</v>
      </c>
      <c r="D230" s="3" t="s">
        <v>17</v>
      </c>
      <c r="E230" s="118" t="s">
        <v>163</v>
      </c>
      <c r="F230" s="3" t="s">
        <v>5</v>
      </c>
      <c r="G230" s="119"/>
      <c r="H230" s="4"/>
      <c r="I230" s="5" t="str">
        <f t="shared" si="24"/>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surname</v>
      </c>
      <c r="V230" s="4" t="str">
        <f>IF(LEN(Table2[[#This Row],[!Description]]) &gt; 0, Table2[[#This Row],[!Description]], "rg:None")</f>
        <v>The surname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20" t="s">
        <v>172</v>
      </c>
      <c r="B231" s="120" t="s">
        <v>7</v>
      </c>
      <c r="C231" s="3">
        <v>150</v>
      </c>
      <c r="D231" s="120" t="s">
        <v>398</v>
      </c>
      <c r="E231" s="120" t="s">
        <v>516</v>
      </c>
      <c r="F231" s="6"/>
      <c r="G231" s="18"/>
      <c r="H231" s="18"/>
      <c r="I231" s="5"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150</v>
      </c>
      <c r="U231" s="4" t="str">
        <f>IF(LEN(Table2[[#This Row],[!Name]]) &gt; 0, Table2[[#This Row],[!Name]], "rg:None")</f>
        <v>organizationName</v>
      </c>
      <c r="V231" s="4" t="str">
        <f>IF(LEN(Table2[[#This Row],[!Description]]) &gt; 0, Table2[[#This Row],[!Description]], "rg:None")</f>
        <v>The organization name of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172</v>
      </c>
      <c r="B232" s="3" t="s">
        <v>7</v>
      </c>
      <c r="C232" s="3">
        <v>100</v>
      </c>
      <c r="D232" s="3" t="s">
        <v>18</v>
      </c>
      <c r="E232" s="121" t="s">
        <v>310</v>
      </c>
      <c r="F232" s="3" t="s">
        <v>5</v>
      </c>
      <c r="G232" s="119"/>
      <c r="H232" s="4"/>
      <c r="I232" s="5"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172</v>
      </c>
      <c r="B233" s="3" t="s">
        <v>7</v>
      </c>
      <c r="C233" s="3">
        <v>150</v>
      </c>
      <c r="D233" s="3" t="s">
        <v>164</v>
      </c>
      <c r="E233" s="121" t="s">
        <v>311</v>
      </c>
      <c r="F233" s="3" t="s">
        <v>5</v>
      </c>
      <c r="G233" s="4"/>
      <c r="H233" s="4"/>
      <c r="I233" s="5"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20" t="s">
        <v>172</v>
      </c>
      <c r="B234" s="120" t="s">
        <v>7</v>
      </c>
      <c r="C234" s="3">
        <v>255</v>
      </c>
      <c r="D234" s="120" t="s">
        <v>517</v>
      </c>
      <c r="E234" s="120" t="s">
        <v>518</v>
      </c>
      <c r="F234" s="6"/>
      <c r="G234" s="18"/>
      <c r="H234" s="18"/>
      <c r="I234" s="5" t="str">
        <f t="shared" si="24"/>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255</v>
      </c>
      <c r="U234" s="4" t="str">
        <f>IF(LEN(Table2[[#This Row],[!Name]]) &gt; 0, Table2[[#This Row],[!Name]], "rg:None")</f>
        <v>emailAddress</v>
      </c>
      <c r="V234" s="4" t="str">
        <f>IF(LEN(Table2[[#This Row],[!Description]]) &gt; 0, Table2[[#This Row],[!Description]], "rg:None")</f>
        <v>The email address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7</v>
      </c>
      <c r="C235" s="3">
        <v>20</v>
      </c>
      <c r="D235" s="117" t="s">
        <v>519</v>
      </c>
      <c r="E235" s="121" t="s">
        <v>520</v>
      </c>
      <c r="F235" s="3" t="s">
        <v>5</v>
      </c>
      <c r="G235" s="119"/>
      <c r="H235" s="4"/>
      <c r="I235" s="5" t="str">
        <f t="shared" si="24"/>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workPhoneNumber</v>
      </c>
      <c r="V235" s="4" t="str">
        <f>IF(LEN(Table2[[#This Row],[!Description]]) &gt; 0, Table2[[#This Row],[!Description]], "rg:None")</f>
        <v>The work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117" t="s">
        <v>172</v>
      </c>
      <c r="B236" s="3" t="s">
        <v>7</v>
      </c>
      <c r="C236" s="3">
        <v>20</v>
      </c>
      <c r="D236" s="117" t="s">
        <v>521</v>
      </c>
      <c r="E236" s="121" t="s">
        <v>522</v>
      </c>
      <c r="F236" s="3" t="s">
        <v>5</v>
      </c>
      <c r="G236" s="119"/>
      <c r="H236" s="4"/>
      <c r="I236" s="5" t="str">
        <f t="shared" si="24"/>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mobilePhoneNumber</v>
      </c>
      <c r="V236" s="4" t="str">
        <f>IF(LEN(Table2[[#This Row],[!Description]]) &gt; 0, Table2[[#This Row],[!Description]], "rg:None")</f>
        <v>The mobile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117" t="s">
        <v>7</v>
      </c>
      <c r="C237" s="3">
        <v>20</v>
      </c>
      <c r="D237" s="117" t="s">
        <v>523</v>
      </c>
      <c r="E237" s="121" t="s">
        <v>524</v>
      </c>
      <c r="F237" s="3" t="s">
        <v>5</v>
      </c>
      <c r="G237" s="4"/>
      <c r="H237" s="4"/>
      <c r="I237" s="5" t="str">
        <f t="shared" si="24"/>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20</v>
      </c>
      <c r="U237" s="4" t="str">
        <f>IF(LEN(Table2[[#This Row],[!Name]]) &gt; 0, Table2[[#This Row],[!Name]], "rg:None")</f>
        <v>faxPhoneNumber</v>
      </c>
      <c r="V237" s="4" t="str">
        <f>IF(LEN(Table2[[#This Row],[!Description]]) &gt; 0, Table2[[#This Row],[!Description]], "rg:None")</f>
        <v>The fax phone number for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17" t="s">
        <v>172</v>
      </c>
      <c r="B238" s="3" t="s">
        <v>7</v>
      </c>
      <c r="C238" s="3">
        <v>80</v>
      </c>
      <c r="D238" s="117" t="s">
        <v>525</v>
      </c>
      <c r="E238" s="121" t="s">
        <v>165</v>
      </c>
      <c r="F238" s="3" t="s">
        <v>5</v>
      </c>
      <c r="G238" s="4"/>
      <c r="H238" s="4"/>
      <c r="I238" s="5" t="str">
        <f t="shared" si="24"/>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address1</v>
      </c>
      <c r="V238" s="4" t="str">
        <f>IF(LEN(Table2[[#This Row],[!Description]]) &gt; 0, Table2[[#This Row],[!Description]], "rg:None")</f>
        <v>Address 1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80</v>
      </c>
      <c r="D239" s="117" t="s">
        <v>526</v>
      </c>
      <c r="E239" s="118" t="s">
        <v>166</v>
      </c>
      <c r="F239" s="3" t="s">
        <v>5</v>
      </c>
      <c r="G239" s="4"/>
      <c r="H239" s="4"/>
      <c r="I239" s="5" t="str">
        <f t="shared" si="24"/>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80</v>
      </c>
      <c r="U239" s="4" t="str">
        <f>IF(LEN(Table2[[#This Row],[!Name]]) &gt; 0, Table2[[#This Row],[!Name]], "rg:None")</f>
        <v>address2</v>
      </c>
      <c r="V239" s="4" t="str">
        <f>IF(LEN(Table2[[#This Row],[!Description]]) &gt; 0, Table2[[#This Row],[!Description]], "rg:None")</f>
        <v>Address 2 line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100</v>
      </c>
      <c r="D240" s="117" t="s">
        <v>21</v>
      </c>
      <c r="E240" s="118" t="s">
        <v>167</v>
      </c>
      <c r="F240" s="3" t="s">
        <v>5</v>
      </c>
      <c r="G240" s="4"/>
      <c r="H240" s="4"/>
      <c r="I240" s="5" t="str">
        <f t="shared" si="24"/>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city</v>
      </c>
      <c r="V240" s="4" t="str">
        <f>IF(LEN(Table2[[#This Row],[!Description]]) &gt; 0, Table2[[#This Row],[!Description]], "rg:None")</f>
        <v>The City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17" t="s">
        <v>172</v>
      </c>
      <c r="B241" s="3" t="s">
        <v>7</v>
      </c>
      <c r="C241" s="3">
        <v>50</v>
      </c>
      <c r="D241" s="117" t="s">
        <v>168</v>
      </c>
      <c r="E241" s="118" t="s">
        <v>169</v>
      </c>
      <c r="F241" s="3" t="s">
        <v>5</v>
      </c>
      <c r="G241" s="4"/>
      <c r="H241" s="4"/>
      <c r="I241" s="5" t="str">
        <f t="shared" si="24"/>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50</v>
      </c>
      <c r="U241" s="4" t="str">
        <f>IF(LEN(Table2[[#This Row],[!Name]]) &gt; 0, Table2[[#This Row],[!Name]], "rg:None")</f>
        <v>province</v>
      </c>
      <c r="V241" s="4" t="str">
        <f>IF(LEN(Table2[[#This Row],[!Description]]) &gt; 0, Table2[[#This Row],[!Description]], "rg:None")</f>
        <v>The Province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15</v>
      </c>
      <c r="D242" s="117" t="s">
        <v>170</v>
      </c>
      <c r="E242" s="118" t="s">
        <v>171</v>
      </c>
      <c r="F242" s="3" t="s">
        <v>5</v>
      </c>
      <c r="G242" s="4"/>
      <c r="H242" s="4"/>
      <c r="I242" s="5" t="str">
        <f t="shared" si="24"/>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v>
      </c>
      <c r="U242" s="4" t="str">
        <f>IF(LEN(Table2[[#This Row],[!Name]]) &gt; 0, Table2[[#This Row],[!Name]], "rg:None")</f>
        <v>postalCode</v>
      </c>
      <c r="V242" s="4" t="str">
        <f>IF(LEN(Table2[[#This Row],[!Description]]) &gt; 0, Table2[[#This Row],[!Description]], "rg:None")</f>
        <v>The postal code of the address.</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ht="28.8" x14ac:dyDescent="0.3">
      <c r="A243" s="81" t="s">
        <v>146</v>
      </c>
      <c r="B243" s="5" t="s">
        <v>4</v>
      </c>
      <c r="D243" s="5" t="s">
        <v>146</v>
      </c>
      <c r="E243" s="76" t="s">
        <v>368</v>
      </c>
      <c r="F243" s="5" t="s">
        <v>5</v>
      </c>
      <c r="G243" s="4"/>
      <c r="H243" s="4"/>
      <c r="I243" s="5" t="str">
        <f t="shared" ref="I243:I255" si="25">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Note</v>
      </c>
      <c r="V243" s="4" t="str">
        <f>IF(LEN(Table2[[#This Row],[!Description]]) &gt; 0, Table2[[#This Row],[!Description]], "rg:None")</f>
        <v>Text entered about an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 { 'req': 'text'} ]</v>
      </c>
      <c r="Y243" s="4" t="str">
        <f>IF(LEN(Table2[[#This Row],[!Unique]])&gt;0,"rg:True","rg:None")</f>
        <v>rg:None</v>
      </c>
    </row>
    <row r="244" spans="1:25" x14ac:dyDescent="0.3">
      <c r="A244" s="81" t="s">
        <v>146</v>
      </c>
      <c r="B244" s="5" t="s">
        <v>6</v>
      </c>
      <c r="D244" s="5" t="s">
        <v>6</v>
      </c>
      <c r="E244" s="54" t="s">
        <v>313</v>
      </c>
      <c r="F244" s="5" t="s">
        <v>5</v>
      </c>
      <c r="G244" s="4" t="s">
        <v>62</v>
      </c>
      <c r="H244" s="41"/>
      <c r="I244" s="5" t="str">
        <f t="shared" si="25"/>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 Note</v>
      </c>
      <c r="W244" s="4" t="str">
        <f>IF(LEN(Table2[[#This Row],[!FK]])&gt;0,Table2[[#This Row],[!FK]],"rg:None")</f>
        <v>rg:None</v>
      </c>
      <c r="X244" s="14" t="str">
        <f>IF(LEN(concatif2(A:A,Table2[[#This Row],[!Table]],G:G,"Y",D:D,",")) &gt; 0,"rg:[ { 'req' : '"&amp;concatif2(A:A,Table2[[#This Row],[!Table]],G:G,"Y",D:D,"' }, { 'req': '")&amp;"'} ]","rg:[]")</f>
        <v>rg:[ { 'req' : 'id' }, { 'req': 'text'} ]</v>
      </c>
      <c r="Y244" s="4" t="str">
        <f>IF(LEN(Table2[[#This Row],[!Unique]])&gt;0,"rg:True","rg:None")</f>
        <v>rg:None</v>
      </c>
    </row>
    <row r="245" spans="1:25" x14ac:dyDescent="0.3">
      <c r="A245" s="81" t="s">
        <v>146</v>
      </c>
      <c r="B245" s="5" t="s">
        <v>7</v>
      </c>
      <c r="C245" s="5">
        <v>2048</v>
      </c>
      <c r="D245" s="102" t="s">
        <v>348</v>
      </c>
      <c r="E245" s="101" t="s">
        <v>312</v>
      </c>
      <c r="F245" s="5" t="s">
        <v>5</v>
      </c>
      <c r="G245" s="41" t="s">
        <v>62</v>
      </c>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text</v>
      </c>
      <c r="V245" s="4" t="str">
        <f>IF(LEN(Table2[[#This Row],[!Description]]) &gt; 0, Table2[[#This Row],[!Description]], "rg:None")</f>
        <v>Notes entered by users about instance of entities - e.g. School Buses and School Bus Owners</v>
      </c>
      <c r="W245" s="4" t="str">
        <f>IF(LEN(Table2[[#This Row],[!FK]])&gt;0,Table2[[#This Row],[!FK]],"rg:None")</f>
        <v>rg:None</v>
      </c>
      <c r="X245" s="14" t="str">
        <f>IF(LEN(concatif2(A:A,Table2[[#This Row],[!Table]],G:G,"Y",D:D,",")) &gt; 0,"rg:[ { 'req' : '"&amp;concatif2(A:A,Table2[[#This Row],[!Table]],G:G,"Y",D:D,"' }, { 'req': '")&amp;"'} ]","rg:[]")</f>
        <v>rg:[ { 'req' : 'id' }, { 'req': 'text'} ]</v>
      </c>
      <c r="Y245" s="4" t="str">
        <f>IF(LEN(Table2[[#This Row],[!Unique]])&gt;0,"rg:True","rg:None")</f>
        <v>rg:None</v>
      </c>
    </row>
    <row r="246" spans="1:25" ht="28.8" x14ac:dyDescent="0.3">
      <c r="A246" s="81" t="s">
        <v>146</v>
      </c>
      <c r="B246" s="5" t="s">
        <v>9</v>
      </c>
      <c r="D246" s="5" t="s">
        <v>156</v>
      </c>
      <c r="E246" s="104" t="s">
        <v>314</v>
      </c>
      <c r="F246" s="5" t="s">
        <v>5</v>
      </c>
      <c r="G246" s="4"/>
      <c r="H246" s="4"/>
      <c r="I246" s="5" t="str">
        <f t="shared" si="25"/>
        <v>Defs</v>
      </c>
      <c r="J246" s="4" t="str">
        <f>IF(Table2[[#This Row],[!Type]]=J$1, J$1,"rg:None")</f>
        <v>boolean</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isNoLongerRelevant</v>
      </c>
      <c r="V246" s="4" t="str">
        <f>IF(LEN(Table2[[#This Row],[!Description]]) &gt; 0, Table2[[#This Row],[!Description]], "rg:None")</f>
        <v>A user set flag that the note is no longer relevant. Allows the note to be retained for historical reasons,  but identified to other users as no longer applicable.</v>
      </c>
      <c r="W246" s="4" t="str">
        <f>IF(LEN(Table2[[#This Row],[!FK]])&gt;0,Table2[[#This Row],[!FK]],"rg:None")</f>
        <v>rg:None</v>
      </c>
      <c r="X246" s="14" t="str">
        <f>IF(LEN(concatif2(A:A,Table2[[#This Row],[!Table]],G:G,"Y",D:D,",")) &gt; 0,"rg:[ { 'req' : '"&amp;concatif2(A:A,Table2[[#This Row],[!Table]],G:G,"Y",D:D,"' }, { 'req': '")&amp;"'} ]","rg:[]")</f>
        <v>rg:[ { 'req' : 'id' }, { 'req': 'text'} ]</v>
      </c>
      <c r="Y246" s="4" t="str">
        <f>IF(LEN(Table2[[#This Row],[!Unique]])&gt;0,"rg:True","rg:None")</f>
        <v>rg:None</v>
      </c>
    </row>
    <row r="247" spans="1:25" ht="28.8" x14ac:dyDescent="0.3">
      <c r="A247" s="81" t="s">
        <v>158</v>
      </c>
      <c r="B247" s="5" t="s">
        <v>4</v>
      </c>
      <c r="D247" s="81" t="s">
        <v>158</v>
      </c>
      <c r="E247" s="76" t="s">
        <v>369</v>
      </c>
      <c r="F247" s="5"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table</v>
      </c>
      <c r="T247" s="4" t="str">
        <f>IF(LEN(Table2[[#This Row],[!Length]]) &gt; 0, Table2[[#This Row],[!Length]], "rg:None")</f>
        <v>rg:None</v>
      </c>
      <c r="U247" s="4" t="str">
        <f>IF(LEN(Table2[[#This Row],[!Name]]) &gt; 0, Table2[[#This Row],[!Name]], "rg:None")</f>
        <v>Attachment</v>
      </c>
      <c r="V247" s="4" t="str">
        <f>IF(LEN(Table2[[#This Row],[!Description]]) &gt; 0, Table2[[#This Row],[!Description]], "rg:None")</f>
        <v>Uploaded documents related to entity in the application - e.g. piece of Equipment, an Owner, a Project and so on.</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81" t="s">
        <v>158</v>
      </c>
      <c r="B248" s="5" t="s">
        <v>6</v>
      </c>
      <c r="D248" s="5" t="s">
        <v>6</v>
      </c>
      <c r="E248" s="54" t="s">
        <v>315</v>
      </c>
      <c r="F248" s="5" t="s">
        <v>5</v>
      </c>
      <c r="G248" s="4" t="s">
        <v>62</v>
      </c>
      <c r="H248" s="41" t="s">
        <v>62</v>
      </c>
      <c r="I248" s="5" t="str">
        <f t="shared" si="25"/>
        <v>Defs</v>
      </c>
      <c r="J248" s="4" t="str">
        <f>IF(Table2[[#This Row],[!Type]]=J$1, J$1,"rg:None")</f>
        <v>rg:None</v>
      </c>
      <c r="K248" s="4" t="str">
        <f>IF(Table2[[#This Row],[!Type]]=K$1, K$1,"rg:None")</f>
        <v>rg:None</v>
      </c>
      <c r="L248" s="4" t="str">
        <f>IF(Table2[[#This Row],[!Type]]=L$1, L$1,"rg:None")</f>
        <v>rg:None</v>
      </c>
      <c r="M248" s="4" t="str">
        <f>IF(Table2[[#This Row],[!Type]]=M$1, M$1,"rg:None")</f>
        <v>id</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id</v>
      </c>
      <c r="V248" s="4" t="str">
        <f>IF(LEN(Table2[[#This Row],[!Description]]) &gt; 0, Table2[[#This Row],[!Description]], "rg:None")</f>
        <v>A system-generated unique identifier for an Attachment</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rg:True</v>
      </c>
    </row>
    <row r="249" spans="1:25" x14ac:dyDescent="0.3">
      <c r="A249" s="81" t="s">
        <v>158</v>
      </c>
      <c r="B249" s="5" t="s">
        <v>7</v>
      </c>
      <c r="C249" s="5">
        <v>2048</v>
      </c>
      <c r="D249" s="5" t="s">
        <v>527</v>
      </c>
      <c r="E249" s="54" t="s">
        <v>528</v>
      </c>
      <c r="F249" s="5" t="s">
        <v>5</v>
      </c>
      <c r="G249" s="41"/>
      <c r="H249" s="41"/>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2048</v>
      </c>
      <c r="U249" s="4" t="str">
        <f>IF(LEN(Table2[[#This Row],[!Name]]) &gt; 0, Table2[[#This Row],[!Name]], "rg:None")</f>
        <v>fileName</v>
      </c>
      <c r="V249" s="4" t="str">
        <f>IF(LEN(Table2[[#This Row],[!Description]]) &gt; 0, Table2[[#This Row],[!Description]], "rg:None")</f>
        <v>Filename as passed by the user uploading the file</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x14ac:dyDescent="0.3">
      <c r="A250" s="81" t="s">
        <v>158</v>
      </c>
      <c r="B250" s="5" t="s">
        <v>159</v>
      </c>
      <c r="D250" s="5" t="s">
        <v>529</v>
      </c>
      <c r="E250" s="105" t="s">
        <v>530</v>
      </c>
      <c r="F250" s="5" t="s">
        <v>5</v>
      </c>
      <c r="G250" s="41"/>
      <c r="H250" s="41"/>
      <c r="I250" s="5" t="str">
        <f t="shared" si="25"/>
        <v>Defs</v>
      </c>
      <c r="J250" s="4" t="str">
        <f>IF(Table2[[#This Row],[!Type]]=J$1, J$1,"rg:None")</f>
        <v>rg:None</v>
      </c>
      <c r="K250" s="4" t="str">
        <f>IF(Table2[[#This Row],[!Type]]=K$1, K$1,"rg:None")</f>
        <v>binary</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4" t="str">
        <f>IF(LEN(Table2[[#This Row],[!Length]]) &gt; 0, Table2[[#This Row],[!Length]], "rg:None")</f>
        <v>rg:None</v>
      </c>
      <c r="U250" s="4" t="str">
        <f>IF(LEN(Table2[[#This Row],[!Name]]) &gt; 0, Table2[[#This Row],[!Name]], "rg:None")</f>
        <v>fileContents</v>
      </c>
      <c r="V250" s="4" t="str">
        <f>IF(LEN(Table2[[#This Row],[!Description]]) &gt; 0, Table2[[#This Row],[!Description]], "rg:None")</f>
        <v>Binary contents of the file</v>
      </c>
      <c r="W250" s="4" t="str">
        <f>IF(LEN(Table2[[#This Row],[!FK]])&gt;0,Table2[[#This Row],[!FK]],"rg:None")</f>
        <v>rg:None</v>
      </c>
      <c r="X250" s="14" t="str">
        <f>IF(LEN(concatif2(A:A,Table2[[#This Row],[!Table]],G:G,"Y",D:D,",")) &gt; 0,"rg:[ { 'req' : '"&amp;concatif2(A:A,Table2[[#This Row],[!Table]],G:G,"Y",D:D,"' }, { 'req': '")&amp;"'} ]","rg:[]")</f>
        <v>rg:[ { 'req' : 'id'} ]</v>
      </c>
      <c r="Y250" s="4" t="str">
        <f>IF(LEN(Table2[[#This Row],[!Unique]])&gt;0,"rg:True","rg:None")</f>
        <v>rg:None</v>
      </c>
    </row>
    <row r="251" spans="1:25" x14ac:dyDescent="0.3">
      <c r="A251" s="81" t="s">
        <v>158</v>
      </c>
      <c r="B251" s="5" t="s">
        <v>7</v>
      </c>
      <c r="C251" s="5">
        <v>2048</v>
      </c>
      <c r="D251" s="5" t="s">
        <v>14</v>
      </c>
      <c r="E251" s="105" t="s">
        <v>157</v>
      </c>
      <c r="F251" s="5" t="s">
        <v>5</v>
      </c>
      <c r="G251" s="4"/>
      <c r="H251" s="4"/>
      <c r="I251" s="5" t="str">
        <f t="shared" si="25"/>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2048</v>
      </c>
      <c r="U251" s="4" t="str">
        <f>IF(LEN(Table2[[#This Row],[!Name]]) &gt; 0, Table2[[#This Row],[!Name]], "rg:None")</f>
        <v>description</v>
      </c>
      <c r="V251" s="4" t="str">
        <f>IF(LEN(Table2[[#This Row],[!Description]]) &gt; 0, Table2[[#This Row],[!Description]], "rg:None")</f>
        <v>A note about the attachment,  optionally maintained by the user.</v>
      </c>
      <c r="W251" s="4" t="str">
        <f>IF(LEN(Table2[[#This Row],[!FK]])&gt;0,Table2[[#This Row],[!FK]],"rg:None")</f>
        <v>rg:None</v>
      </c>
      <c r="X251" s="14" t="str">
        <f>IF(LEN(concatif2(A:A,Table2[[#This Row],[!Table]],G:G,"Y",D:D,",")) &gt; 0,"rg:[ { 'req' : '"&amp;concatif2(A:A,Table2[[#This Row],[!Table]],G:G,"Y",D:D,"' }, { 'req': '")&amp;"'} ]","rg:[]")</f>
        <v>rg:[ { 'req' : 'id'} ]</v>
      </c>
      <c r="Y251" s="4" t="str">
        <f>IF(LEN(Table2[[#This Row],[!Unique]])&gt;0,"rg:True","rg:None")</f>
        <v>rg:None</v>
      </c>
    </row>
    <row r="252" spans="1:25" x14ac:dyDescent="0.3">
      <c r="A252" s="72" t="s">
        <v>158</v>
      </c>
      <c r="B252" s="72" t="s">
        <v>7</v>
      </c>
      <c r="C252" s="72">
        <v>255</v>
      </c>
      <c r="D252" s="72" t="s">
        <v>20</v>
      </c>
      <c r="E252" s="47" t="s">
        <v>531</v>
      </c>
      <c r="F252" s="12"/>
      <c r="G252" s="18"/>
      <c r="H252" s="18"/>
      <c r="I252" s="4" t="str">
        <f>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255</v>
      </c>
      <c r="U252" s="4" t="str">
        <f>IF(LEN(Table2[[#This Row],[!Name]]) &gt; 0, Table2[[#This Row],[!Name]], "rg:None")</f>
        <v>type</v>
      </c>
      <c r="V252" s="4" t="str">
        <f>IF(LEN(Table2[[#This Row],[!Description]]) &gt; 0, Table2[[#This Row],[!Description]], "rg:None")</f>
        <v>Type of attachment</v>
      </c>
      <c r="W252" s="4" t="str">
        <f>IF(LEN(Table2[[#This Row],[!FK]])&gt;0,Table2[[#This Row],[!FK]],"rg:None")</f>
        <v>rg:None</v>
      </c>
      <c r="X252" s="14" t="str">
        <f>IF(LEN(concatif2(A:A,Table2[[#This Row],[!Table]],G:G,"Y",D:D,",")) &gt; 0,"rg:[ { 'req' : '"&amp;concatif2(A:A,Table2[[#This Row],[!Table]],G:G,"Y",D:D,"' }, { 'req': '")&amp;"'} ]","rg:[]")</f>
        <v>rg:[ { 'req' : 'id'} ]</v>
      </c>
      <c r="Y252" s="4" t="str">
        <f>IF(LEN(Table2[[#This Row],[!Unique]])&gt;0,"rg:True","rg:None")</f>
        <v>rg:None</v>
      </c>
    </row>
    <row r="253" spans="1:25" ht="28.8" x14ac:dyDescent="0.3">
      <c r="A253" s="81" t="s">
        <v>160</v>
      </c>
      <c r="B253" s="5" t="s">
        <v>4</v>
      </c>
      <c r="D253" s="81" t="s">
        <v>160</v>
      </c>
      <c r="E253" s="76" t="s">
        <v>370</v>
      </c>
      <c r="F253" s="5" t="s">
        <v>5</v>
      </c>
      <c r="G253" s="4"/>
      <c r="H253" s="4"/>
      <c r="I253" s="5" t="str">
        <f t="shared" si="25"/>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table</v>
      </c>
      <c r="T253" s="4" t="str">
        <f>IF(LEN(Table2[[#This Row],[!Length]]) &gt; 0, Table2[[#This Row],[!Length]], "rg:None")</f>
        <v>rg:None</v>
      </c>
      <c r="U253" s="4" t="str">
        <f>IF(LEN(Table2[[#This Row],[!Name]]) &gt; 0, Table2[[#This Row],[!Name]], "rg:None")</f>
        <v>History</v>
      </c>
      <c r="V253" s="4" t="str">
        <f>IF(LEN(Table2[[#This Row],[!Description]]) &gt; 0, Table2[[#This Row],[!Description]], "rg:None")</f>
        <v>A log entry created by the system based on a triggering event and related to an entity in the application - e.g. piece of Equipment, an Owner, a Project and so on.</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Row],[!Unique]])&gt;0,"rg:True","rg:None")</f>
        <v>rg:None</v>
      </c>
    </row>
    <row r="254" spans="1:25" x14ac:dyDescent="0.3">
      <c r="A254" s="81" t="s">
        <v>160</v>
      </c>
      <c r="B254" s="5" t="s">
        <v>6</v>
      </c>
      <c r="D254" s="5" t="s">
        <v>6</v>
      </c>
      <c r="E254" s="54" t="s">
        <v>316</v>
      </c>
      <c r="F254" s="5" t="s">
        <v>5</v>
      </c>
      <c r="G254" s="4" t="s">
        <v>62</v>
      </c>
      <c r="H254" s="41"/>
      <c r="I254" s="5" t="str">
        <f t="shared" si="25"/>
        <v>Defs</v>
      </c>
      <c r="J254" s="4" t="str">
        <f>IF(Table2[[#This Row],[!Type]]=J$1, J$1,"rg:None")</f>
        <v>rg:None</v>
      </c>
      <c r="K254" s="4" t="str">
        <f>IF(Table2[[#This Row],[!Type]]=K$1, K$1,"rg:None")</f>
        <v>rg:None</v>
      </c>
      <c r="L254" s="4" t="str">
        <f>IF(Table2[[#This Row],[!Type]]=L$1, L$1,"rg:None")</f>
        <v>rg:None</v>
      </c>
      <c r="M254" s="4" t="str">
        <f>IF(Table2[[#This Row],[!Type]]=M$1, M$1,"rg:None")</f>
        <v>id</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id</v>
      </c>
      <c r="V254" s="4" t="str">
        <f>IF(LEN(Table2[[#This Row],[!Description]]) &gt; 0, Table2[[#This Row],[!Description]], "rg:None")</f>
        <v>A system-generated unique identifier for a History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Row],[!Unique]])&gt;0,"rg:True","rg:None")</f>
        <v>rg:None</v>
      </c>
    </row>
    <row r="255" spans="1:25" x14ac:dyDescent="0.3">
      <c r="A255" s="81" t="s">
        <v>160</v>
      </c>
      <c r="B255" s="81" t="s">
        <v>7</v>
      </c>
      <c r="C255" s="5">
        <v>2048</v>
      </c>
      <c r="D255" s="106" t="s">
        <v>210</v>
      </c>
      <c r="E255" s="107" t="s">
        <v>211</v>
      </c>
      <c r="G255" s="41" t="s">
        <v>62</v>
      </c>
      <c r="H255" s="41"/>
      <c r="I255" s="5" t="str">
        <f t="shared" si="25"/>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historyText</v>
      </c>
      <c r="V255" s="4" t="str">
        <f>IF(LEN(Table2[[#This Row],[!Description]]) &gt; 0, Table2[[#This Row],[!Description]], "rg:None")</f>
        <v>The text of the history entry tracked against the related entity.</v>
      </c>
      <c r="W255" s="4" t="str">
        <f>IF(LEN(Table2[[#This Row],[!FK]])&gt;0,Table2[[#This Row],[!FK]],"rg:None")</f>
        <v>rg:None</v>
      </c>
      <c r="X255" s="14" t="str">
        <f>IF(LEN(concatif2(A:A,Table2[[#This Row],[!Table]],G:G,"Y",D:D,",")) &gt; 0,"rg:[ { 'req' : '"&amp;concatif2(A:A,Table2[[#This Row],[!Table]],G:G,"Y",D:D,"' }, { 'req': '")&amp;"'} ]","rg:[]")</f>
        <v>rg:[ { 'req' : 'id' }, { 'req': 'historyText'} ]</v>
      </c>
      <c r="Y255" s="4" t="str">
        <f>IF(LEN(Table2[[#This Row],[!Unique]])&gt;0,"rg:True","rg:None")</f>
        <v>rg:None</v>
      </c>
    </row>
    <row r="256" spans="1:25" x14ac:dyDescent="0.3">
      <c r="A256" s="81" t="s">
        <v>160</v>
      </c>
      <c r="B256" s="19" t="s">
        <v>12</v>
      </c>
      <c r="C256" s="72"/>
      <c r="D256" s="31" t="s">
        <v>209</v>
      </c>
      <c r="E256" s="51" t="s">
        <v>161</v>
      </c>
      <c r="F256" s="12"/>
      <c r="G256" s="18"/>
      <c r="H256" s="18"/>
      <c r="I256" s="4" t="str">
        <f>IF(LEN(A256) &gt; 0,"Defs","-")</f>
        <v>Defs</v>
      </c>
      <c r="J256" s="14" t="str">
        <f>IF(Table2[[#This Row],[!Type]]=J$1, J$1,"rg:None")</f>
        <v>rg:None</v>
      </c>
      <c r="K256" s="14" t="str">
        <f>IF(Table2[[#This Row],[!Type]]=K$1, K$1,"rg:None")</f>
        <v>rg:None</v>
      </c>
      <c r="L256" s="14" t="str">
        <f>IF(Table2[[#This Row],[!Type]]=L$1, L$1,"rg:None")</f>
        <v>datetime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createdDate</v>
      </c>
      <c r="V256" s="14" t="str">
        <f>IF(LEN(Table2[[#This Row],[!Description]]) &gt; 0, Table2[[#This Row],[!Description]], "rg:None")</f>
        <v>Date the record is created.</v>
      </c>
      <c r="W256" s="14" t="str">
        <f>IF(LEN(Table2[[#This Row],[!FK]])&gt;0,Table2[[#This Row],[!FK]],"rg:None")</f>
        <v>rg:None</v>
      </c>
      <c r="X256" s="14" t="str">
        <f>IF(LEN(concatif2(A:A,Table2[[#This Row],[!Table]],G:G,"Y",D:D,",")) &gt; 0,"rg:[ { 'req' : '"&amp;concatif2(A:A,Table2[[#This Row],[!Table]],G:G,"Y",D:D,"' }, { 'req': '")&amp;"'} ]","rg:[]")</f>
        <v>rg:[ { 'req' : 'id' }, { 'req': 'historyText'} ]</v>
      </c>
      <c r="Y256" s="14" t="str">
        <f>IF(LEN(Table2[[#This Row],[!Unique]])&gt;0,"rg:True","rg:None")</f>
        <v>rg:None</v>
      </c>
    </row>
    <row r="257" spans="1:25" ht="28.8" x14ac:dyDescent="0.3">
      <c r="A257" s="5" t="s">
        <v>22</v>
      </c>
      <c r="B257" s="5" t="s">
        <v>4</v>
      </c>
      <c r="D257" s="5" t="s">
        <v>22</v>
      </c>
      <c r="E257" s="54" t="s">
        <v>63</v>
      </c>
      <c r="F257" s="5" t="s">
        <v>5</v>
      </c>
      <c r="G257" s="4"/>
      <c r="H257" s="4"/>
      <c r="I257" s="5" t="str">
        <f t="shared" ref="I257:I299" si="26">IF(LEN(A257) &gt; 0,"Defs","-")</f>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UserFavourite</v>
      </c>
      <c r="V257" s="8" t="str">
        <f>IF(LEN(Table2[[#This Row],[!Description]]) &gt; 0, Table2[[#This Row],[!Description]], "rg:None")</f>
        <v>User specific settings for a specific location in the UI. The location and saved settings are internally defined by the UI.</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5" t="s">
        <v>22</v>
      </c>
      <c r="B258" s="5" t="s">
        <v>6</v>
      </c>
      <c r="D258" s="5" t="s">
        <v>6</v>
      </c>
      <c r="E258" s="54" t="s">
        <v>317</v>
      </c>
      <c r="F258" s="5" t="s">
        <v>5</v>
      </c>
      <c r="G258" s="4" t="s">
        <v>62</v>
      </c>
      <c r="H258" s="41"/>
      <c r="I258" s="5" t="str">
        <f t="shared" si="26"/>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UserFavourite</v>
      </c>
      <c r="W258" s="8" t="str">
        <f>IF(LEN(Table2[[#This Row],[!FK]])&gt;0,Table2[[#This Row],[!FK]],"rg:None")</f>
        <v>rg:None</v>
      </c>
      <c r="X258" s="8" t="str">
        <f>IF(LEN(concatif2(A:A,Table2[[#This Row],[!Table]],G:G,"Y",D:D,",")) &gt; 0,"rg:[ { 'req' : '"&amp;concatif2(A:A,Table2[[#This Row],[!Table]],G:G,"Y",D:D,"' }, { 'req': '")&amp;"'} ]","rg:[]")</f>
        <v>rg:[ { 'req' : 'id'} ]</v>
      </c>
      <c r="Y258" s="8" t="str">
        <f>IF(LEN(Table2[[#This Row],[!Unique]])&gt;0,"rg:True","rg:None")</f>
        <v>rg:None</v>
      </c>
    </row>
    <row r="259" spans="1:25" ht="28.8" x14ac:dyDescent="0.3">
      <c r="A259" s="5" t="s">
        <v>22</v>
      </c>
      <c r="B259" s="5" t="s">
        <v>7</v>
      </c>
      <c r="C259" s="5">
        <v>150</v>
      </c>
      <c r="D259" s="5" t="s">
        <v>15</v>
      </c>
      <c r="E259" s="54" t="s">
        <v>23</v>
      </c>
      <c r="F259" s="5" t="s">
        <v>5</v>
      </c>
      <c r="G259" s="4"/>
      <c r="H259" s="4"/>
      <c r="I259" s="5" t="str">
        <f t="shared" si="26"/>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150</v>
      </c>
      <c r="U259" s="8" t="str">
        <f>IF(LEN(Table2[[#This Row],[!Name]]) &gt; 0, Table2[[#This Row],[!Name]], "rg:None")</f>
        <v>name</v>
      </c>
      <c r="V259" s="8" t="str">
        <f>IF(LEN(Table2[[#This Row],[!Description]]) &gt; 0, Table2[[#This Row],[!Description]], "rg:None")</f>
        <v>The user-defined name for the recorded settings. Allows the user to save different groups of settings and access each one easily when needed.</v>
      </c>
      <c r="W259" s="8" t="str">
        <f>IF(LEN(Table2[[#This Row],[!FK]])&gt;0,Table2[[#This Row],[!FK]],"rg:None")</f>
        <v>rg:None</v>
      </c>
      <c r="X259" s="8" t="str">
        <f>IF(LEN(concatif2(A:A,Table2[[#This Row],[!Table]],G:G,"Y",D:D,",")) &gt; 0,"rg:[ { 'req' : '"&amp;concatif2(A:A,Table2[[#This Row],[!Table]],G:G,"Y",D:D,"' }, { 'req': '")&amp;"'} ]","rg:[]")</f>
        <v>rg:[ { 'req' : 'id'} ]</v>
      </c>
      <c r="Y259" s="8" t="str">
        <f>IF(LEN(Table2[[#This Row],[!Unique]])&gt;0,"rg:True","rg:None")</f>
        <v>rg:None</v>
      </c>
    </row>
    <row r="260" spans="1:25" ht="28.8" x14ac:dyDescent="0.3">
      <c r="A260" s="5" t="s">
        <v>22</v>
      </c>
      <c r="B260" s="5" t="s">
        <v>7</v>
      </c>
      <c r="C260" s="5">
        <v>2048</v>
      </c>
      <c r="D260" s="5" t="s">
        <v>24</v>
      </c>
      <c r="E260" s="54" t="s">
        <v>25</v>
      </c>
      <c r="F260" s="5" t="s">
        <v>5</v>
      </c>
      <c r="G260" s="4"/>
      <c r="H260" s="4"/>
      <c r="I260" s="5" t="str">
        <f t="shared" si="26"/>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8">
        <f>IF(LEN(Table2[[#This Row],[!Length]]) &gt; 0, Table2[[#This Row],[!Length]], "rg:None")</f>
        <v>2048</v>
      </c>
      <c r="U260" s="8" t="str">
        <f>IF(LEN(Table2[[#This Row],[!Name]]) &gt; 0, Table2[[#This Row],[!Name]], "rg:None")</f>
        <v>value</v>
      </c>
      <c r="V260" s="8" t="str">
        <f>IF(LEN(Table2[[#This Row],[!Description]]) &gt; 0, Table2[[#This Row],[!Description]], "rg:None")</f>
        <v>The settings saved by the user. In general,  a UI defined chunk of json that stores the settings in place when the user created the favourite.</v>
      </c>
      <c r="W260" s="8" t="str">
        <f>IF(LEN(Table2[[#This Row],[!FK]])&gt;0,Table2[[#This Row],[!FK]],"rg:None")</f>
        <v>rg:None</v>
      </c>
      <c r="X260" s="8" t="str">
        <f>IF(LEN(concatif2(A:A,Table2[[#This Row],[!Table]],G:G,"Y",D:D,",")) &gt; 0,"rg:[ { 'req' : '"&amp;concatif2(A:A,Table2[[#This Row],[!Table]],G:G,"Y",D:D,"' }, { 'req': '")&amp;"'} ]","rg:[]")</f>
        <v>rg:[ { 'req' : 'id'} ]</v>
      </c>
      <c r="Y260" s="8" t="str">
        <f>IF(LEN(Table2[[#This Row],[!Unique]])&gt;0,"rg:True","rg:None")</f>
        <v>rg:None</v>
      </c>
    </row>
    <row r="261" spans="1:25" ht="57.6" x14ac:dyDescent="0.3">
      <c r="A261" s="5" t="s">
        <v>22</v>
      </c>
      <c r="B261" s="5" t="s">
        <v>9</v>
      </c>
      <c r="D261" s="5" t="s">
        <v>26</v>
      </c>
      <c r="E261" s="54" t="s">
        <v>27</v>
      </c>
      <c r="F261" s="5" t="s">
        <v>5</v>
      </c>
      <c r="G261" s="4"/>
      <c r="H261" s="4"/>
      <c r="I261" s="5" t="str">
        <f t="shared" si="26"/>
        <v>Defs</v>
      </c>
      <c r="J261" s="8" t="str">
        <f>IF(Table2[[#This Row],[!Type]]=J$1, J$1,"rg:None")</f>
        <v>boolean</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isDefault</v>
      </c>
      <c r="V261"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1" s="8" t="str">
        <f>IF(LEN(Table2[[#This Row],[!FK]])&gt;0,Table2[[#This Row],[!FK]],"rg:None")</f>
        <v>rg:None</v>
      </c>
      <c r="X261" s="8" t="str">
        <f>IF(LEN(concatif2(A:A,Table2[[#This Row],[!Table]],G:G,"Y",D:D,",")) &gt; 0,"rg:[ { 'req' : '"&amp;concatif2(A:A,Table2[[#This Row],[!Table]],G:G,"Y",D:D,"' }, { 'req': '")&amp;"'} ]","rg:[]")</f>
        <v>rg:[ { 'req' : 'id'} ]</v>
      </c>
      <c r="Y261" s="8" t="str">
        <f>IF(LEN(Table2[[#This Row],[!Unique]])&gt;0,"rg:True","rg:None")</f>
        <v>rg:None</v>
      </c>
    </row>
    <row r="262" spans="1:25" x14ac:dyDescent="0.3">
      <c r="A262" s="5" t="s">
        <v>22</v>
      </c>
      <c r="B262" s="108" t="s">
        <v>7</v>
      </c>
      <c r="C262" s="5">
        <v>150</v>
      </c>
      <c r="D262" s="108" t="s">
        <v>20</v>
      </c>
      <c r="E262" s="52" t="s">
        <v>215</v>
      </c>
      <c r="G262" s="4"/>
      <c r="H262" s="4"/>
      <c r="I262" s="5" t="str">
        <f t="shared" si="26"/>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8">
        <f>IF(LEN(Table2[[#This Row],[!Length]]) &gt; 0, Table2[[#This Row],[!Length]], "rg:None")</f>
        <v>150</v>
      </c>
      <c r="U262" s="8" t="str">
        <f>IF(LEN(Table2[[#This Row],[!Name]]) &gt; 0, Table2[[#This Row],[!Name]], "rg:None")</f>
        <v>type</v>
      </c>
      <c r="V262" s="8" t="str">
        <f>IF(LEN(Table2[[#This Row],[!Description]]) &gt; 0, Table2[[#This Row],[!Description]], "rg:None")</f>
        <v>The type of Favourite</v>
      </c>
      <c r="W262" s="8" t="str">
        <f>IF(LEN(Table2[[#This Row],[!FK]])&gt;0,Table2[[#This Row],[!FK]],"rg:None")</f>
        <v>rg:None</v>
      </c>
      <c r="X262" s="8" t="str">
        <f>IF(LEN(concatif2(A:A,Table2[[#This Row],[!Table]],G:G,"Y",D:D,",")) &gt; 0,"rg:[ { 'req' : '"&amp;concatif2(A:A,Table2[[#This Row],[!Table]],G:G,"Y",D:D,"' }, { 'req': '")&amp;"'} ]","rg:[]")</f>
        <v>rg:[ { 'req' : 'id'} ]</v>
      </c>
      <c r="Y262" s="8" t="str">
        <f>IF(LEN(Table2[[#This Row],[!Unique]])&gt;0,"rg:True","rg:None")</f>
        <v>rg:None</v>
      </c>
    </row>
    <row r="263" spans="1:25" x14ac:dyDescent="0.3">
      <c r="A263" s="38" t="s">
        <v>22</v>
      </c>
      <c r="B263" s="38" t="s">
        <v>8</v>
      </c>
      <c r="C263" s="72"/>
      <c r="D263" s="38" t="s">
        <v>0</v>
      </c>
      <c r="E263" s="53" t="s">
        <v>216</v>
      </c>
      <c r="F263" s="39" t="s">
        <v>0</v>
      </c>
      <c r="G263" s="18"/>
      <c r="H263" s="18"/>
      <c r="I263" s="4" t="str">
        <f>IF(LEN(A263) &gt; 0,"Defs","-")</f>
        <v>Defs</v>
      </c>
      <c r="J263" s="14" t="str">
        <f>IF(Table2[[#This Row],[!Type]]=J$1, J$1,"rg:None")</f>
        <v>rg:None</v>
      </c>
      <c r="K263" s="14" t="str">
        <f>IF(Table2[[#This Row],[!Type]]=K$1, K$1,"rg:None")</f>
        <v>rg:None</v>
      </c>
      <c r="L263" s="14" t="str">
        <f>IF(Table2[[#This Row],[!Type]]=L$1, L$1,"rg:None")</f>
        <v>rg:None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ref</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User</v>
      </c>
      <c r="V263" s="14" t="str">
        <f>IF(LEN(Table2[[#This Row],[!Description]]) &gt; 0, Table2[[#This Row],[!Description]], "rg:None")</f>
        <v>The User who has this Favourite</v>
      </c>
      <c r="W263" s="14" t="str">
        <f>IF(LEN(Table2[[#This Row],[!FK]])&gt;0,Table2[[#This Row],[!FK]],"rg:None")</f>
        <v>User</v>
      </c>
      <c r="X263" s="14" t="str">
        <f>IF(LEN(concatif2(A:A,Table2[[#This Row],[!Table]],G:G,"Y",D:D,",")) &gt; 0,"rg:[ { 'req' : '"&amp;concatif2(A:A,Table2[[#This Row],[!Table]],G:G,"Y",D:D,"' }, { 'req': '")&amp;"'} ]","rg:[]")</f>
        <v>rg:[ { 'req' : 'id'} ]</v>
      </c>
      <c r="Y263" s="14" t="str">
        <f>IF(LEN(Table2[[#This Row],[!Unique]])&gt;0,"rg:True","rg:None")</f>
        <v>rg:None</v>
      </c>
    </row>
    <row r="264" spans="1:25" x14ac:dyDescent="0.3">
      <c r="A264" s="5" t="s">
        <v>28</v>
      </c>
      <c r="B264" s="5" t="s">
        <v>4</v>
      </c>
      <c r="D264" s="5" t="s">
        <v>28</v>
      </c>
      <c r="E264" s="76" t="s">
        <v>402</v>
      </c>
      <c r="F264" s="5" t="s">
        <v>5</v>
      </c>
      <c r="G264" s="4"/>
      <c r="H264" s="4"/>
      <c r="I264" s="5" t="str">
        <f t="shared" si="26"/>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Region</v>
      </c>
      <c r="V264" s="8" t="str">
        <f>IF(LEN(Table2[[#This Row],[!Description]]) &gt; 0, Table2[[#This Row],[!Description]], "rg:None")</f>
        <v>The Ministry of Transportion and Infrastructure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x14ac:dyDescent="0.3">
      <c r="A265" s="5" t="s">
        <v>28</v>
      </c>
      <c r="B265" s="5" t="s">
        <v>6</v>
      </c>
      <c r="D265" s="5" t="s">
        <v>6</v>
      </c>
      <c r="E265" s="54" t="s">
        <v>318</v>
      </c>
      <c r="F265" s="5" t="s">
        <v>5</v>
      </c>
      <c r="G265" s="4" t="s">
        <v>62</v>
      </c>
      <c r="H265" s="41"/>
      <c r="I265" s="5" t="str">
        <f t="shared" si="26"/>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Region</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x14ac:dyDescent="0.3">
      <c r="A266" s="5" t="s">
        <v>28</v>
      </c>
      <c r="B266" s="5" t="s">
        <v>13</v>
      </c>
      <c r="D266" s="5" t="s">
        <v>29</v>
      </c>
      <c r="E266" s="76" t="s">
        <v>407</v>
      </c>
      <c r="F266" s="5" t="s">
        <v>5</v>
      </c>
      <c r="G266" s="41" t="s">
        <v>62</v>
      </c>
      <c r="H266" s="41" t="s">
        <v>62</v>
      </c>
      <c r="I266" s="5" t="str">
        <f t="shared" si="26"/>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ministryRegionID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'ministryRegionID' }, { 'req': 'name' }, { 'req': 'startDate'} ]</v>
      </c>
      <c r="Y266" s="8" t="str">
        <f>IF(LEN(Table2[[#This Row],[!Unique]])&gt;0,"rg:True","rg:None")</f>
        <v>rg:True</v>
      </c>
    </row>
    <row r="267" spans="1:25" x14ac:dyDescent="0.3">
      <c r="A267" s="61" t="s">
        <v>28</v>
      </c>
      <c r="B267" s="61" t="s">
        <v>13</v>
      </c>
      <c r="C267" s="72"/>
      <c r="D267" s="61" t="s">
        <v>403</v>
      </c>
      <c r="E267" s="60" t="s">
        <v>404</v>
      </c>
      <c r="F267" s="12"/>
      <c r="G267" s="18"/>
      <c r="H267" s="18"/>
      <c r="I267" s="4" t="str">
        <f>IF(LEN(A267) &gt; 0,"Defs","-")</f>
        <v>Defs</v>
      </c>
      <c r="J267" s="14" t="str">
        <f>IF(Table2[[#This Row],[!Type]]=J$1, J$1,"rg:None")</f>
        <v>rg:None</v>
      </c>
      <c r="K267" s="14" t="str">
        <f>IF(Table2[[#This Row],[!Type]]=K$1, K$1,"rg:None")</f>
        <v>rg:None</v>
      </c>
      <c r="L267" s="14" t="str">
        <f>IF(Table2[[#This Row],[!Type]]=L$1, L$1,"rg:None")</f>
        <v>rg:None</v>
      </c>
      <c r="M267" s="14" t="str">
        <f>IF(Table2[[#This Row],[!Type]]=M$1, M$1,"rg:None")</f>
        <v>rg:None</v>
      </c>
      <c r="N267" s="14" t="str">
        <f>IF(Table2[[#This Row],[!Type]]=N$1, N$1,"rg:None")</f>
        <v>integer</v>
      </c>
      <c r="O267" s="14" t="str">
        <f>IF(Table2[[#This Row],[!Type]]=O$1, O$1,"rg:None")</f>
        <v>rg:None</v>
      </c>
      <c r="P267" s="4" t="str">
        <f>IF(Table2[[#This Row],[!Type]]=P$1, P$1,"rg:None")</f>
        <v>rg:None</v>
      </c>
      <c r="Q267" s="4" t="str">
        <f>IF(Table2[[#This Row],[!Type]]=Q$1, Q$1,"rg:None")</f>
        <v>rg:None</v>
      </c>
      <c r="R267" s="4" t="str">
        <f>IF(Table2[[#This Row],[!Type]]=R$1, R$1,"rg:None")</f>
        <v>rg:None</v>
      </c>
      <c r="S267" s="4" t="str">
        <f>IF(Table2[[#This Row],[!Type]]=S$1, S$1,"rg:None")</f>
        <v>rg:None</v>
      </c>
      <c r="T267" s="14" t="str">
        <f>IF(LEN(Table2[[#This Row],[!Length]]) &gt; 0, Table2[[#This Row],[!Length]], "rg:None")</f>
        <v>rg:None</v>
      </c>
      <c r="U267" s="14" t="str">
        <f>IF(LEN(Table2[[#This Row],[!Name]]) &gt; 0, Table2[[#This Row],[!Name]], "rg:None")</f>
        <v>regionNumber</v>
      </c>
      <c r="V267" s="14" t="str">
        <f>IF(LEN(Table2[[#This Row],[!Description]]) &gt; 0, Table2[[#This Row],[!Description]], "rg:None")</f>
        <v>A code that uniquely defines a Region.</v>
      </c>
      <c r="W267" s="14" t="str">
        <f>IF(LEN(Table2[[#This Row],[!FK]])&gt;0,Table2[[#This Row],[!FK]],"rg:None")</f>
        <v>rg:None</v>
      </c>
      <c r="X267" s="14" t="str">
        <f>IF(LEN(concatif2(A:A,Table2[[#This Row],[!Table]],G:G,"Y",D:D,",")) &gt; 0,"rg:[ { 'req' : '"&amp;concatif2(A:A,Table2[[#This Row],[!Table]],G:G,"Y",D:D,"' }, { 'req': '")&amp;"'} ]","rg:[]")</f>
        <v>rg:[ { 'req' : 'id' }, { 'req': 'ministryRegionID' }, { 'req': 'name' }, { 'req': 'startDate'} ]</v>
      </c>
      <c r="Y267" s="14" t="str">
        <f>IF(LEN(Table2[[#This Row],[!Unique]])&gt;0,"rg:True","rg:None")</f>
        <v>rg:None</v>
      </c>
    </row>
    <row r="268" spans="1:25" x14ac:dyDescent="0.3">
      <c r="A268" s="5" t="s">
        <v>28</v>
      </c>
      <c r="B268" s="5" t="s">
        <v>7</v>
      </c>
      <c r="C268" s="5">
        <v>150</v>
      </c>
      <c r="D268" s="5" t="s">
        <v>15</v>
      </c>
      <c r="E268" s="76" t="s">
        <v>405</v>
      </c>
      <c r="F268" s="5" t="s">
        <v>5</v>
      </c>
      <c r="G268" s="41" t="s">
        <v>62</v>
      </c>
      <c r="H268" s="41"/>
      <c r="I268" s="5" t="str">
        <f t="shared" si="26"/>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name of a Minsitry Region.</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Row],[!Unique]])&gt;0,"rg:True","rg:None")</f>
        <v>rg:None</v>
      </c>
    </row>
    <row r="269" spans="1:25" ht="28.8" x14ac:dyDescent="0.3">
      <c r="A269" s="5" t="s">
        <v>28</v>
      </c>
      <c r="B269" s="5" t="s">
        <v>12</v>
      </c>
      <c r="D269" s="5" t="s">
        <v>30</v>
      </c>
      <c r="E269" s="76" t="s">
        <v>411</v>
      </c>
      <c r="F269" s="5" t="s">
        <v>5</v>
      </c>
      <c r="G269" s="63" t="s">
        <v>62</v>
      </c>
      <c r="H269" s="4"/>
      <c r="I269" s="5" t="str">
        <f t="shared" si="26"/>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startDate</v>
      </c>
      <c r="V269" s="8" t="str">
        <f>IF(LEN(Table2[[#This Row],[!Description]]) &gt; 0, Table2[[#This Row],[!Description]], "rg:None")</f>
        <v>The DATE the business information came into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Row],[!Unique]])&gt;0,"rg:True","rg:None")</f>
        <v>rg:None</v>
      </c>
    </row>
    <row r="270" spans="1:25" ht="28.8" x14ac:dyDescent="0.3">
      <c r="A270" s="5" t="s">
        <v>28</v>
      </c>
      <c r="B270" s="5" t="s">
        <v>12</v>
      </c>
      <c r="D270" s="5" t="s">
        <v>31</v>
      </c>
      <c r="E270" s="76" t="s">
        <v>412</v>
      </c>
      <c r="F270" s="5" t="s">
        <v>5</v>
      </c>
      <c r="G270" s="4"/>
      <c r="H270" s="4"/>
      <c r="I270" s="5" t="str">
        <f t="shared" si="26"/>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endDate</v>
      </c>
      <c r="V270" s="8" t="str">
        <f>IF(LEN(Table2[[#This Row],[!Description]]) &gt; 0, Table2[[#This Row],[!Description]], "rg:None")</f>
        <v>The DATE the business information ceased to be in effect. - NOT CURRENTLY ENFORCED IN THIS SYSTEM</v>
      </c>
      <c r="W270" s="8" t="str">
        <f>IF(LEN(Table2[[#This Row],[!FK]])&gt;0,Table2[[#This Row],[!FK]],"rg:None")</f>
        <v>rg:None</v>
      </c>
      <c r="X270" s="8" t="str">
        <f>IF(LEN(concatif2(A:A,Table2[[#This Row],[!Table]],G:G,"Y",D:D,",")) &gt; 0,"rg:[ { 'req' : '"&amp;concatif2(A:A,Table2[[#This Row],[!Table]],G:G,"Y",D:D,"' }, { 'req': '")&amp;"'} ]","rg:[]")</f>
        <v>rg:[ { 'req' : 'id' }, { 'req': 'ministryRegionID' }, { 'req': 'name' }, { 'req': 'startDate'} ]</v>
      </c>
      <c r="Y270" s="8" t="str">
        <f>IF(LEN(Table2[[#This Row],[!Unique]])&gt;0,"rg:True","rg:None")</f>
        <v>rg:None</v>
      </c>
    </row>
    <row r="271" spans="1:25" x14ac:dyDescent="0.3">
      <c r="A271" s="5" t="s">
        <v>32</v>
      </c>
      <c r="B271" s="5" t="s">
        <v>4</v>
      </c>
      <c r="D271" s="5" t="s">
        <v>32</v>
      </c>
      <c r="E271" s="76" t="s">
        <v>406</v>
      </c>
      <c r="F271" s="5" t="s">
        <v>5</v>
      </c>
      <c r="G271" s="4"/>
      <c r="H271" s="4"/>
      <c r="I271" s="5" t="str">
        <f t="shared" si="26"/>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District</v>
      </c>
      <c r="V271" s="8" t="str">
        <f>IF(LEN(Table2[[#This Row],[!Description]]) &gt; 0, Table2[[#This Row],[!Description]], "rg:None")</f>
        <v>The Ministry of Transportion and Infrastructure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
      <c r="A272" s="5" t="s">
        <v>32</v>
      </c>
      <c r="B272" s="5" t="s">
        <v>6</v>
      </c>
      <c r="D272" s="5" t="s">
        <v>6</v>
      </c>
      <c r="E272" s="54" t="s">
        <v>319</v>
      </c>
      <c r="F272" s="5" t="s">
        <v>5</v>
      </c>
      <c r="G272" s="4" t="s">
        <v>62</v>
      </c>
      <c r="H272" s="41"/>
      <c r="I272" s="5" t="str">
        <f t="shared" si="26"/>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District</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x14ac:dyDescent="0.3">
      <c r="A273" s="5" t="s">
        <v>32</v>
      </c>
      <c r="B273" s="5" t="s">
        <v>13</v>
      </c>
      <c r="D273" s="5" t="s">
        <v>33</v>
      </c>
      <c r="E273" s="76" t="s">
        <v>407</v>
      </c>
      <c r="F273" s="5" t="s">
        <v>5</v>
      </c>
      <c r="G273" s="41" t="s">
        <v>62</v>
      </c>
      <c r="H273" s="41"/>
      <c r="I273" s="5" t="str">
        <f t="shared" si="26"/>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ministryDistrictID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x14ac:dyDescent="0.3">
      <c r="A274" s="5" t="s">
        <v>32</v>
      </c>
      <c r="B274" s="5" t="s">
        <v>7</v>
      </c>
      <c r="C274" s="5">
        <v>150</v>
      </c>
      <c r="D274" s="5" t="s">
        <v>15</v>
      </c>
      <c r="E274" s="76" t="s">
        <v>408</v>
      </c>
      <c r="F274" s="5" t="s">
        <v>5</v>
      </c>
      <c r="G274" s="41" t="s">
        <v>62</v>
      </c>
      <c r="H274" s="41"/>
      <c r="I274" s="5" t="str">
        <f t="shared" si="26"/>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150</v>
      </c>
      <c r="U274" s="8" t="str">
        <f>IF(LEN(Table2[[#This Row],[!Name]]) &gt; 0, Table2[[#This Row],[!Name]], "rg:None")</f>
        <v>name</v>
      </c>
      <c r="V274" s="8" t="str">
        <f>IF(LEN(Table2[[#This Row],[!Description]]) &gt; 0, Table2[[#This Row],[!Description]], "rg:None")</f>
        <v>The Name of a Ministry District.</v>
      </c>
      <c r="W274" s="8" t="str">
        <f>IF(LEN(Table2[[#This Row],[!FK]])&gt;0,Table2[[#This Row],[!FK]],"rg:None")</f>
        <v>rg:None</v>
      </c>
      <c r="X274" s="8" t="str">
        <f>IF(LEN(concatif2(A:A,Table2[[#This Row],[!Table]],G:G,"Y",D:D,",")) &gt; 0,"rg:[ { 'req' : '"&amp;concatif2(A:A,Table2[[#This Row],[!Table]],G:G,"Y",D:D,"' }, { 'req': '")&amp;"'} ]","rg:[]")</f>
        <v>rg:[ { 'req' : 'id' }, { 'req': 'ministryDistrictID' }, { 'req': 'name' }, { 'req': 'region' }, { 'req': 'startDate'} ]</v>
      </c>
      <c r="Y274" s="8" t="str">
        <f>IF(LEN(Table2[[#This Row],[!Unique]])&gt;0,"rg:True","rg:None")</f>
        <v>rg:None</v>
      </c>
    </row>
    <row r="275" spans="1:25" x14ac:dyDescent="0.3">
      <c r="A275" s="61" t="s">
        <v>32</v>
      </c>
      <c r="B275" s="61" t="s">
        <v>13</v>
      </c>
      <c r="C275" s="72"/>
      <c r="D275" s="61" t="s">
        <v>409</v>
      </c>
      <c r="E275" s="47" t="s">
        <v>410</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districtNumber</v>
      </c>
      <c r="V275" s="14" t="str">
        <f>IF(LEN(Table2[[#This Row],[!Description]]) &gt; 0, Table2[[#This Row],[!Description]], "rg:None")</f>
        <v>A number that uniquely defines a Ministry District.</v>
      </c>
      <c r="W275" s="14" t="str">
        <f>IF(LEN(Table2[[#This Row],[!FK]])&gt;0,Table2[[#This Row],[!FK]],"rg:None")</f>
        <v>rg:None</v>
      </c>
      <c r="X275" s="14" t="str">
        <f>IF(LEN(concatif2(A:A,Table2[[#This Row],[!Table]],G:G,"Y",D:D,",")) &gt; 0,"rg:[ { 'req' : '"&amp;concatif2(A:A,Table2[[#This Row],[!Table]],G:G,"Y",D:D,"' }, { 'req': '")&amp;"'} ]","rg:[]")</f>
        <v>rg:[ { 'req' : 'id' }, { 'req': 'ministryDistrictID' }, { 'req': 'name' }, { 'req': 'region' }, { 'req': 'startDate'} ]</v>
      </c>
      <c r="Y275" s="14" t="str">
        <f>IF(LEN(Table2[[#This Row],[!Unique]])&gt;0,"rg:True","rg:None")</f>
        <v>rg:None</v>
      </c>
    </row>
    <row r="276" spans="1:25" x14ac:dyDescent="0.3">
      <c r="A276" s="5" t="s">
        <v>32</v>
      </c>
      <c r="B276" s="5" t="s">
        <v>8</v>
      </c>
      <c r="D276" s="5" t="s">
        <v>34</v>
      </c>
      <c r="E276" s="54" t="s">
        <v>35</v>
      </c>
      <c r="F276" s="5" t="s">
        <v>28</v>
      </c>
      <c r="G276" s="63" t="s">
        <v>62</v>
      </c>
      <c r="H276" s="4"/>
      <c r="I276" s="5" t="str">
        <f t="shared" si="26"/>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ref</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region</v>
      </c>
      <c r="V276" s="8" t="str">
        <f>IF(LEN(Table2[[#This Row],[!Description]]) &gt; 0, Table2[[#This Row],[!Description]], "rg:None")</f>
        <v>The region in which the District is found.</v>
      </c>
      <c r="W276" s="8" t="str">
        <f>IF(LEN(Table2[[#This Row],[!FK]])&gt;0,Table2[[#This Row],[!FK]],"rg:None")</f>
        <v>Region</v>
      </c>
      <c r="X276" s="8" t="str">
        <f>IF(LEN(concatif2(A:A,Table2[[#This Row],[!Table]],G:G,"Y",D:D,",")) &gt; 0,"rg:[ { 'req' : '"&amp;concatif2(A:A,Table2[[#This Row],[!Table]],G:G,"Y",D:D,"' }, { 'req': '")&amp;"'} ]","rg:[]")</f>
        <v>rg:[ { 'req' : 'id' }, { 'req': 'ministryDistrictID' }, { 'req': 'name' }, { 'req': 'region' }, { 'req': 'startDate'} ]</v>
      </c>
      <c r="Y276" s="8" t="str">
        <f>IF(LEN(Table2[[#This Row],[!Unique]])&gt;0,"rg:True","rg:None")</f>
        <v>rg:None</v>
      </c>
    </row>
    <row r="277" spans="1:25" ht="28.8" x14ac:dyDescent="0.3">
      <c r="A277" s="5" t="s">
        <v>32</v>
      </c>
      <c r="B277" s="5" t="s">
        <v>12</v>
      </c>
      <c r="D277" s="5" t="s">
        <v>30</v>
      </c>
      <c r="E277" s="76" t="s">
        <v>411</v>
      </c>
      <c r="F277" s="5" t="s">
        <v>5</v>
      </c>
      <c r="G277" s="63" t="s">
        <v>62</v>
      </c>
      <c r="H277" s="4"/>
      <c r="I277" s="5" t="str">
        <f t="shared" si="26"/>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Row],[!Unique]])&gt;0,"rg:True","rg:None")</f>
        <v>rg:None</v>
      </c>
    </row>
    <row r="278" spans="1:25" ht="28.8" x14ac:dyDescent="0.3">
      <c r="A278" s="5" t="s">
        <v>32</v>
      </c>
      <c r="B278" s="5" t="s">
        <v>12</v>
      </c>
      <c r="D278" s="5" t="s">
        <v>31</v>
      </c>
      <c r="E278" s="76" t="s">
        <v>412</v>
      </c>
      <c r="F278" s="5" t="s">
        <v>5</v>
      </c>
      <c r="G278" s="4"/>
      <c r="H278" s="4"/>
      <c r="I278" s="5" t="str">
        <f t="shared" si="26"/>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10</v>
      </c>
      <c r="B279" s="5" t="s">
        <v>4</v>
      </c>
      <c r="D279" s="5" t="s">
        <v>10</v>
      </c>
      <c r="E279" s="54" t="s">
        <v>416</v>
      </c>
      <c r="F279" s="5" t="s">
        <v>5</v>
      </c>
      <c r="G279" s="4"/>
      <c r="H279" s="4"/>
      <c r="I279" s="5" t="str">
        <f t="shared" si="26"/>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ServiceArea</v>
      </c>
      <c r="V279" s="8" t="str">
        <f>IF(LEN(Table2[[#This Row],[!Description]]) &gt; 0, Table2[[#This Row],[!Description]], "rg:None")</f>
        <v>The Ministry of Transportation and Infrastructure SERVICE 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5" t="s">
        <v>10</v>
      </c>
      <c r="B280" s="5" t="s">
        <v>6</v>
      </c>
      <c r="D280" s="5" t="s">
        <v>6</v>
      </c>
      <c r="E280" s="54" t="s">
        <v>320</v>
      </c>
      <c r="F280" s="5" t="s">
        <v>5</v>
      </c>
      <c r="G280" s="4" t="s">
        <v>62</v>
      </c>
      <c r="H280" s="41" t="s">
        <v>62</v>
      </c>
      <c r="I280" s="5" t="str">
        <f t="shared" si="26"/>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ServiceArea</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Row],[!Unique]])&gt;0,"rg:True","rg:None")</f>
        <v>rg:True</v>
      </c>
    </row>
    <row r="281" spans="1:25" x14ac:dyDescent="0.3">
      <c r="A281" s="5" t="s">
        <v>10</v>
      </c>
      <c r="B281" s="5" t="s">
        <v>13</v>
      </c>
      <c r="D281" s="5" t="s">
        <v>36</v>
      </c>
      <c r="E281" s="76" t="s">
        <v>407</v>
      </c>
      <c r="F281" s="5" t="s">
        <v>5</v>
      </c>
      <c r="G281" s="41" t="s">
        <v>62</v>
      </c>
      <c r="H281" s="41"/>
      <c r="I281" s="5" t="str">
        <f t="shared" si="26"/>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ministryServiceAreaID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x14ac:dyDescent="0.3">
      <c r="A282" s="61" t="s">
        <v>10</v>
      </c>
      <c r="B282" s="61" t="s">
        <v>13</v>
      </c>
      <c r="C282" s="72"/>
      <c r="D282" s="61" t="s">
        <v>414</v>
      </c>
      <c r="E282" s="47" t="s">
        <v>415</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areaNumber</v>
      </c>
      <c r="V282" s="14" t="str">
        <f>IF(LEN(Table2[[#This Row],[!Description]]) &gt; 0, Table2[[#This Row],[!Description]], "rg:None")</f>
        <v>A number that uniquely defines a Ministry Service Area.</v>
      </c>
      <c r="W282" s="14" t="str">
        <f>IF(LEN(Table2[[#This Row],[!FK]])&gt;0,Table2[[#This Row],[!FK]],"rg:None")</f>
        <v>rg:None</v>
      </c>
      <c r="X282" s="14" t="str">
        <f>IF(LEN(concatif2(A:A,Table2[[#This Row],[!Table]],G:G,"Y",D:D,",")) &gt; 0,"rg:[ { 'req' : '"&amp;concatif2(A:A,Table2[[#This Row],[!Table]],G:G,"Y",D:D,"' }, { 'req': '")&amp;"'} ]","rg:[]")</f>
        <v>rg:[ { 'req' : 'id' }, { 'req': 'ministryServiceAreaID' }, { 'req': 'name' }, { 'req': 'district' }, { 'req': 'startDate'} ]</v>
      </c>
      <c r="Y282" s="14" t="str">
        <f>IF(LEN(Table2[[#This Row],[!Unique]])&gt;0,"rg:True","rg:None")</f>
        <v>rg:None</v>
      </c>
    </row>
    <row r="283" spans="1:25" x14ac:dyDescent="0.3">
      <c r="A283" s="5" t="s">
        <v>10</v>
      </c>
      <c r="B283" s="5" t="s">
        <v>7</v>
      </c>
      <c r="C283" s="5">
        <v>150</v>
      </c>
      <c r="D283" s="5" t="s">
        <v>15</v>
      </c>
      <c r="E283" s="76" t="s">
        <v>413</v>
      </c>
      <c r="F283" s="5" t="s">
        <v>5</v>
      </c>
      <c r="G283" s="41" t="s">
        <v>62</v>
      </c>
      <c r="H283" s="41"/>
      <c r="I283" s="5" t="str">
        <f t="shared" si="26"/>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Service Area.</v>
      </c>
      <c r="W283" s="8" t="str">
        <f>IF(LEN(Table2[[#This Row],[!FK]])&gt;0,Table2[[#This Row],[!FK]],"rg:None")</f>
        <v>rg:None</v>
      </c>
      <c r="X283" s="8" t="str">
        <f>IF(LEN(concatif2(A:A,Table2[[#This Row],[!Table]],G:G,"Y",D:D,",")) &gt; 0,"rg:[ { 'req' : '"&amp;concatif2(A:A,Table2[[#This Row],[!Table]],G:G,"Y",D:D,"' }, { 'req': '")&amp;"'} ]","rg:[]")</f>
        <v>rg:[ { 'req' : 'id' }, { 'req': 'ministryServiceAreaID' }, { 'req': 'name' }, { 'req': 'district' }, { 'req': 'startDate'} ]</v>
      </c>
      <c r="Y283" s="8" t="str">
        <f>IF(LEN(Table2[[#This Row],[!Unique]])&gt;0,"rg:True","rg:None")</f>
        <v>rg:None</v>
      </c>
    </row>
    <row r="284" spans="1:25" x14ac:dyDescent="0.3">
      <c r="A284" s="5" t="s">
        <v>10</v>
      </c>
      <c r="B284" s="5" t="s">
        <v>8</v>
      </c>
      <c r="D284" s="5" t="s">
        <v>37</v>
      </c>
      <c r="E284" s="54" t="s">
        <v>38</v>
      </c>
      <c r="F284" s="5" t="s">
        <v>32</v>
      </c>
      <c r="G284" s="63" t="s">
        <v>62</v>
      </c>
      <c r="H284" s="4"/>
      <c r="I284" s="5" t="str">
        <f t="shared" si="26"/>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district</v>
      </c>
      <c r="V284" s="8" t="str">
        <f>IF(LEN(Table2[[#This Row],[!Description]]) &gt; 0, Table2[[#This Row],[!Description]], "rg:None")</f>
        <v>The district in which the Service Area is found.</v>
      </c>
      <c r="W284" s="8" t="str">
        <f>IF(LEN(Table2[[#This Row],[!FK]])&gt;0,Table2[[#This Row],[!FK]],"rg:None")</f>
        <v>District</v>
      </c>
      <c r="X284" s="8" t="str">
        <f>IF(LEN(concatif2(A:A,Table2[[#This Row],[!Table]],G:G,"Y",D:D,",")) &gt; 0,"rg:[ { 'req' : '"&amp;concatif2(A:A,Table2[[#This Row],[!Table]],G:G,"Y",D:D,"' }, { 'req': '")&amp;"'} ]","rg:[]")</f>
        <v>rg:[ { 'req' : 'id' }, { 'req': 'ministryServiceAreaID' }, { 'req': 'name' }, { 'req': 'district' }, { 'req': 'startDate'} ]</v>
      </c>
      <c r="Y284" s="8" t="str">
        <f>IF(LEN(Table2[[#This Row],[!Unique]])&gt;0,"rg:True","rg:None")</f>
        <v>rg:None</v>
      </c>
    </row>
    <row r="285" spans="1:25" ht="28.8" x14ac:dyDescent="0.3">
      <c r="A285" s="5" t="s">
        <v>10</v>
      </c>
      <c r="B285" s="5" t="s">
        <v>12</v>
      </c>
      <c r="D285" s="5" t="s">
        <v>30</v>
      </c>
      <c r="E285" s="76" t="s">
        <v>411</v>
      </c>
      <c r="F285" s="5" t="s">
        <v>5</v>
      </c>
      <c r="G285" s="63" t="s">
        <v>62</v>
      </c>
      <c r="H285" s="4"/>
      <c r="I285" s="5" t="str">
        <f t="shared" si="26"/>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Row],[!Unique]])&gt;0,"rg:True","rg:None")</f>
        <v>rg:None</v>
      </c>
    </row>
    <row r="286" spans="1:25" ht="28.8" x14ac:dyDescent="0.3">
      <c r="A286" s="5" t="s">
        <v>10</v>
      </c>
      <c r="B286" s="5" t="s">
        <v>12</v>
      </c>
      <c r="D286" s="5" t="s">
        <v>31</v>
      </c>
      <c r="E286" s="76" t="s">
        <v>412</v>
      </c>
      <c r="F286" s="5" t="s">
        <v>5</v>
      </c>
      <c r="G286" s="4"/>
      <c r="H286" s="4"/>
      <c r="I286" s="5" t="str">
        <f t="shared" si="26"/>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109" t="s">
        <v>151</v>
      </c>
      <c r="B287" s="5" t="s">
        <v>4</v>
      </c>
      <c r="D287" s="109" t="s">
        <v>151</v>
      </c>
      <c r="E287" s="76" t="s">
        <v>371</v>
      </c>
      <c r="F287" s="5" t="s">
        <v>5</v>
      </c>
      <c r="G287" s="4"/>
      <c r="H287" s="4"/>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LocalArea</v>
      </c>
      <c r="V287" s="8" t="str">
        <f>IF(LEN(Table2[[#This Row],[!Description]]) &gt; 0, Table2[[#This Row],[!Description]], "rg:None")</f>
        <v>A HETS-application defined area that is within a Service Area.</v>
      </c>
      <c r="W287" s="8" t="str">
        <f>IF(LEN(Table2[[#This Row],[!FK]])&gt;0,Table2[[#This Row],[!FK]],"rg:None")</f>
        <v>rg:None</v>
      </c>
      <c r="X287" s="8" t="str">
        <f>IF(LEN(concatif2(A:A,Table2[[#This Row],[!Table]],G:G,"Y",D:D,",")) &gt; 0,"rg:[ { 'req' : '"&amp;concatif2(A:A,Table2[[#This Row],[!Table]],G:G,"Y",D:D,"' }, { 'req': '")&amp;"'} ]","rg:[]")</f>
        <v>rg:[ { 'req' : 'id' }, { 'req': 'startDate'} ]</v>
      </c>
      <c r="Y287" s="8" t="str">
        <f>IF(LEN(Table2[[#This Row],[!Unique]])&gt;0,"rg:True","rg:None")</f>
        <v>rg:None</v>
      </c>
    </row>
    <row r="288" spans="1:25" x14ac:dyDescent="0.3">
      <c r="A288" s="109" t="s">
        <v>151</v>
      </c>
      <c r="B288" s="5" t="s">
        <v>6</v>
      </c>
      <c r="D288" s="5" t="s">
        <v>6</v>
      </c>
      <c r="E288" s="54" t="s">
        <v>349</v>
      </c>
      <c r="F288" s="5" t="s">
        <v>5</v>
      </c>
      <c r="G288" s="4" t="s">
        <v>62</v>
      </c>
      <c r="H288" s="4"/>
      <c r="I288" s="5" t="str">
        <f>IF(LEN(A288) &gt; 0,"Defs","-")</f>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LocalArea</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x14ac:dyDescent="0.3">
      <c r="A289" s="61" t="s">
        <v>151</v>
      </c>
      <c r="B289" s="61" t="s">
        <v>13</v>
      </c>
      <c r="C289" s="72"/>
      <c r="D289" s="61" t="s">
        <v>418</v>
      </c>
      <c r="E289" s="60" t="s">
        <v>417</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localAreaNumber</v>
      </c>
      <c r="V289" s="14" t="str">
        <f>IF(LEN(Table2[[#This Row],[!Description]]) &gt; 0, Table2[[#This Row],[!Description]], "rg:None")</f>
        <v>A system-generated, visible to the user number for the Local Area</v>
      </c>
      <c r="W289" s="14" t="str">
        <f>IF(LEN(Table2[[#This Row],[!FK]])&gt;0,Table2[[#This Row],[!FK]],"rg:None")</f>
        <v>rg:None</v>
      </c>
      <c r="X289" s="14" t="str">
        <f>IF(LEN(concatif2(A:A,Table2[[#This Row],[!Table]],G:G,"Y",D:D,",")) &gt; 0,"rg:[ { 'req' : '"&amp;concatif2(A:A,Table2[[#This Row],[!Table]],G:G,"Y",D:D,"' }, { 'req': '")&amp;"'} ]","rg:[]")</f>
        <v>rg:[ { 'req' : 'id' }, { 'req': 'startDate'} ]</v>
      </c>
      <c r="Y289" s="14" t="str">
        <f>IF(LEN(Table2[[#This Row],[!Unique]])&gt;0,"rg:True","rg:None")</f>
        <v>rg:None</v>
      </c>
    </row>
    <row r="290" spans="1:25" x14ac:dyDescent="0.3">
      <c r="A290" s="109" t="s">
        <v>151</v>
      </c>
      <c r="B290" s="5" t="s">
        <v>7</v>
      </c>
      <c r="C290" s="5">
        <v>150</v>
      </c>
      <c r="D290" s="5" t="s">
        <v>15</v>
      </c>
      <c r="E290" s="110" t="s">
        <v>152</v>
      </c>
      <c r="F290" s="5" t="s">
        <v>5</v>
      </c>
      <c r="G290" s="4"/>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full name of the Local Area</v>
      </c>
      <c r="W290" s="8" t="str">
        <f>IF(LEN(Table2[[#This Row],[!FK]])&gt;0,Table2[[#This Row],[!FK]],"rg:None")</f>
        <v>rg:None</v>
      </c>
      <c r="X290" s="8" t="str">
        <f>IF(LEN(concatif2(A:A,Table2[[#This Row],[!Table]],G:G,"Y",D:D,",")) &gt; 0,"rg:[ { 'req' : '"&amp;concatif2(A:A,Table2[[#This Row],[!Table]],G:G,"Y",D:D,"' }, { 'req': '")&amp;"'} ]","rg:[]")</f>
        <v>rg:[ { 'req' : 'id' }, { 'req': 'startDate'} ]</v>
      </c>
      <c r="Y290" s="8" t="str">
        <f>IF(LEN(Table2[[#This Row],[!Unique]])&gt;0,"rg:True","rg:None")</f>
        <v>rg:None</v>
      </c>
    </row>
    <row r="291" spans="1:25" x14ac:dyDescent="0.3">
      <c r="A291" s="109" t="s">
        <v>151</v>
      </c>
      <c r="B291" s="5" t="s">
        <v>8</v>
      </c>
      <c r="D291" s="109" t="s">
        <v>153</v>
      </c>
      <c r="E291" s="110" t="s">
        <v>154</v>
      </c>
      <c r="F291" s="109" t="s">
        <v>10</v>
      </c>
      <c r="G291" s="4"/>
      <c r="H291" s="4"/>
      <c r="I291" s="5" t="str">
        <f>IF(LEN(A291) &gt; 0,"Defs","-")</f>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serviceArea</v>
      </c>
      <c r="V291" s="8" t="str">
        <f>IF(LEN(Table2[[#This Row],[!Description]]) &gt; 0, Table2[[#This Row],[!Description]], "rg:None")</f>
        <v>The Service Area in which the Local Area is found.</v>
      </c>
      <c r="W291" s="8" t="str">
        <f>IF(LEN(Table2[[#This Row],[!FK]])&gt;0,Table2[[#This Row],[!FK]],"rg:None")</f>
        <v>ServiceArea</v>
      </c>
      <c r="X291" s="8" t="str">
        <f>IF(LEN(concatif2(A:A,Table2[[#This Row],[!Table]],G:G,"Y",D:D,",")) &gt; 0,"rg:[ { 'req' : '"&amp;concatif2(A:A,Table2[[#This Row],[!Table]],G:G,"Y",D:D,"' }, { 'req': '")&amp;"'} ]","rg:[]")</f>
        <v>rg:[ { 'req' : 'id' }, { 'req': 'startDate'} ]</v>
      </c>
      <c r="Y291" s="8" t="str">
        <f>IF(LEN(Table2[[#This Row],[!Unique]])&gt;0,"rg:True","rg:None")</f>
        <v>rg:None</v>
      </c>
    </row>
    <row r="292" spans="1:25" ht="28.8" x14ac:dyDescent="0.3">
      <c r="A292" s="61" t="s">
        <v>151</v>
      </c>
      <c r="B292" s="5" t="s">
        <v>12</v>
      </c>
      <c r="D292" s="5" t="s">
        <v>30</v>
      </c>
      <c r="E292" s="76" t="s">
        <v>411</v>
      </c>
      <c r="F292" s="5" t="s">
        <v>5</v>
      </c>
      <c r="G292" s="63" t="s">
        <v>62</v>
      </c>
      <c r="H292" s="4"/>
      <c r="I292" s="5" t="str">
        <f t="shared" ref="I292:I293" si="27">IF(LEN(A292) &gt; 0,"Defs","-")</f>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'startDate'} ]</v>
      </c>
      <c r="Y292" s="8" t="str">
        <f>IF(LEN(Table2[[#This Row],[!Unique]])&gt;0,"rg:True","rg:None")</f>
        <v>rg:None</v>
      </c>
    </row>
    <row r="293" spans="1:25" ht="28.8" x14ac:dyDescent="0.3">
      <c r="A293" s="61" t="s">
        <v>151</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'startDate'} ]</v>
      </c>
      <c r="Y293" s="8" t="str">
        <f>IF(LEN(Table2[[#This Row],[!Unique]])&gt;0,"rg:True","rg:None")</f>
        <v>rg:None</v>
      </c>
    </row>
    <row r="294" spans="1:25" x14ac:dyDescent="0.3">
      <c r="A294" s="5" t="s">
        <v>11</v>
      </c>
      <c r="B294" s="5" t="s">
        <v>4</v>
      </c>
      <c r="D294" s="5" t="s">
        <v>11</v>
      </c>
      <c r="E294" s="54" t="s">
        <v>64</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City</v>
      </c>
      <c r="V294" s="8" t="str">
        <f>IF(LEN(Table2[[#This Row],[!Description]]) &gt; 0, Table2[[#This Row],[!Description]], "rg:None")</f>
        <v>A list of cities in BC. Authoritative source to be determined.</v>
      </c>
      <c r="W294" s="8" t="str">
        <f>IF(LEN(Table2[[#This Row],[!FK]])&gt;0,Table2[[#This Row],[!FK]],"rg:None")</f>
        <v>rg:None</v>
      </c>
      <c r="X294" s="8" t="str">
        <f>IF(LEN(concatif2(A:A,Table2[[#This Row],[!Table]],G:G,"Y",D:D,",")) &gt; 0,"rg:[ { 'req' : '"&amp;concatif2(A:A,Table2[[#This Row],[!Table]],G:G,"Y",D:D,"' }, { 'req': '")&amp;"'} ]","rg:[]")</f>
        <v>rg:[ { 'req' : 'id'} ]</v>
      </c>
      <c r="Y294" s="8" t="str">
        <f>IF(LEN(Table2[[#This Row],[!Unique]])&gt;0,"rg:True","rg:None")</f>
        <v>rg:None</v>
      </c>
    </row>
    <row r="295" spans="1:25" x14ac:dyDescent="0.3">
      <c r="A295" s="5" t="s">
        <v>11</v>
      </c>
      <c r="B295" s="5" t="s">
        <v>6</v>
      </c>
      <c r="D295" s="5" t="s">
        <v>6</v>
      </c>
      <c r="E295" s="54" t="s">
        <v>321</v>
      </c>
      <c r="F295" s="5" t="s">
        <v>5</v>
      </c>
      <c r="G295" s="4" t="s">
        <v>62</v>
      </c>
      <c r="H295" s="41"/>
      <c r="I295" s="5" t="str">
        <f t="shared" si="26"/>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City</v>
      </c>
      <c r="W295" s="8" t="str">
        <f>IF(LEN(Table2[[#This Row],[!FK]])&gt;0,Table2[[#This Row],[!FK]],"rg:None")</f>
        <v>rg:None</v>
      </c>
      <c r="X295" s="8" t="str">
        <f>IF(LEN(concatif2(A:A,Table2[[#This Row],[!Table]],G:G,"Y",D:D,",")) &gt; 0,"rg:[ { 'req' : '"&amp;concatif2(A:A,Table2[[#This Row],[!Table]],G:G,"Y",D:D,"' }, { 'req': '")&amp;"'} ]","rg:[]")</f>
        <v>rg:[ { 'req' : 'id'} ]</v>
      </c>
      <c r="Y295" s="8" t="str">
        <f>IF(LEN(Table2[[#This Row],[!Unique]])&gt;0,"rg:True","rg:None")</f>
        <v>rg:None</v>
      </c>
    </row>
    <row r="296" spans="1:25" x14ac:dyDescent="0.3">
      <c r="A296" s="5" t="s">
        <v>11</v>
      </c>
      <c r="B296" s="5" t="s">
        <v>7</v>
      </c>
      <c r="C296" s="5">
        <v>150</v>
      </c>
      <c r="D296" s="5" t="s">
        <v>15</v>
      </c>
      <c r="E296" s="54" t="s">
        <v>39</v>
      </c>
      <c r="F296" s="5" t="s">
        <v>5</v>
      </c>
      <c r="G296" s="4"/>
      <c r="H296" s="4"/>
      <c r="I296" s="5" t="str">
        <f t="shared" si="26"/>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150</v>
      </c>
      <c r="U296" s="8" t="str">
        <f>IF(LEN(Table2[[#This Row],[!Name]]) &gt; 0, Table2[[#This Row],[!Name]], "rg:None")</f>
        <v>name</v>
      </c>
      <c r="V296" s="8" t="str">
        <f>IF(LEN(Table2[[#This Row],[!Description]]) &gt; 0, Table2[[#This Row],[!Description]], "rg:None")</f>
        <v>The name of the City</v>
      </c>
      <c r="W296" s="8" t="str">
        <f>IF(LEN(Table2[[#This Row],[!FK]])&gt;0,Table2[[#This Row],[!FK]],"rg:None")</f>
        <v>rg:None</v>
      </c>
      <c r="X296" s="8" t="str">
        <f>IF(LEN(concatif2(A:A,Table2[[#This Row],[!Table]],G:G,"Y",D:D,",")) &gt; 0,"rg:[ { 'req' : '"&amp;concatif2(A:A,Table2[[#This Row],[!Table]],G:G,"Y",D:D,"' }, { 'req': '")&amp;"'} ]","rg:[]")</f>
        <v>rg:[ { 'req' : 'id'} ]</v>
      </c>
      <c r="Y296" s="8" t="str">
        <f>IF(LEN(Table2[[#This Row],[!Unique]])&gt;0,"rg:True","rg:None")</f>
        <v>rg:None</v>
      </c>
    </row>
    <row r="297" spans="1:25" x14ac:dyDescent="0.3">
      <c r="A297" s="5" t="s">
        <v>0</v>
      </c>
      <c r="B297" s="5" t="s">
        <v>4</v>
      </c>
      <c r="D297" s="5" t="s">
        <v>0</v>
      </c>
      <c r="E297" s="76" t="s">
        <v>372</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table</v>
      </c>
      <c r="T297" s="8" t="str">
        <f>IF(LEN(Table2[[#This Row],[!Length]]) &gt; 0, Table2[[#This Row],[!Length]], "rg:None")</f>
        <v>rg:None</v>
      </c>
      <c r="U297" s="8" t="str">
        <f>IF(LEN(Table2[[#This Row],[!Name]]) &gt; 0, Table2[[#This Row],[!Name]], "rg:None")</f>
        <v>User</v>
      </c>
      <c r="V297" s="8" t="str">
        <f>IF(LEN(Table2[[#This Row],[!Description]]) &gt; 0, Table2[[#This Row],[!Description]], "rg:None")</f>
        <v>An identified user in the HETS Application that has a defined authorization level.</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5" t="s">
        <v>0</v>
      </c>
      <c r="B298" s="5" t="s">
        <v>6</v>
      </c>
      <c r="D298" s="5" t="s">
        <v>6</v>
      </c>
      <c r="E298" s="54" t="s">
        <v>322</v>
      </c>
      <c r="F298" s="5" t="s">
        <v>5</v>
      </c>
      <c r="G298" s="4" t="s">
        <v>62</v>
      </c>
      <c r="H298" s="41"/>
      <c r="I298" s="5" t="str">
        <f t="shared" si="26"/>
        <v>Defs</v>
      </c>
      <c r="J298" s="8" t="str">
        <f>IF(Table2[[#This Row],[!Type]]=J$1, J$1,"rg:None")</f>
        <v>rg:None</v>
      </c>
      <c r="K298" s="8" t="str">
        <f>IF(Table2[[#This Row],[!Type]]=K$1, K$1,"rg:None")</f>
        <v>rg:None</v>
      </c>
      <c r="L298" s="8" t="str">
        <f>IF(Table2[[#This Row],[!Type]]=L$1, L$1,"rg:None")</f>
        <v>rg:None</v>
      </c>
      <c r="M298" s="8" t="str">
        <f>IF(Table2[[#This Row],[!Type]]=M$1, M$1,"rg:None")</f>
        <v>id</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id</v>
      </c>
      <c r="V298" s="8" t="str">
        <f>IF(LEN(Table2[[#This Row],[!Description]]) &gt; 0, Table2[[#This Row],[!Description]], "rg:None")</f>
        <v>A system-generated unique identifier for a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50</v>
      </c>
      <c r="D299" s="5" t="s">
        <v>16</v>
      </c>
      <c r="E299" s="54" t="s">
        <v>323</v>
      </c>
      <c r="F299" s="5" t="s">
        <v>5</v>
      </c>
      <c r="G299" s="41" t="s">
        <v>62</v>
      </c>
      <c r="H299" s="41"/>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givenName</v>
      </c>
      <c r="V299" s="8" t="str">
        <f>IF(LEN(Table2[[#This Row],[!Description]]) &gt; 0, Table2[[#This Row],[!Description]], "rg:None")</f>
        <v>Given 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7</v>
      </c>
      <c r="C300" s="5">
        <v>50</v>
      </c>
      <c r="D300" s="5" t="s">
        <v>17</v>
      </c>
      <c r="E300" s="54" t="s">
        <v>324</v>
      </c>
      <c r="F300" s="5" t="s">
        <v>5</v>
      </c>
      <c r="G300" s="41" t="s">
        <v>62</v>
      </c>
      <c r="H300" s="41"/>
      <c r="I300" s="5" t="str">
        <f t="shared" ref="I300:I338" si="28">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50</v>
      </c>
      <c r="U300" s="8" t="str">
        <f>IF(LEN(Table2[[#This Row],[!Name]]) &gt; 0, Table2[[#This Row],[!Name]], "rg:None")</f>
        <v>surname</v>
      </c>
      <c r="V300" s="8" t="str">
        <f>IF(LEN(Table2[[#This Row],[!Description]]) &gt; 0, Table2[[#This Row],[!Description]], "rg:None")</f>
        <v>Surname of the user.</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7</v>
      </c>
      <c r="C301" s="5">
        <v>10</v>
      </c>
      <c r="D301" s="5" t="s">
        <v>42</v>
      </c>
      <c r="E301" s="54" t="s">
        <v>325</v>
      </c>
      <c r="F301" s="5" t="s">
        <v>5</v>
      </c>
      <c r="G301" s="4"/>
      <c r="H301" s="4"/>
      <c r="I301" s="5" t="str">
        <f t="shared" si="28"/>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10</v>
      </c>
      <c r="U301" s="8" t="str">
        <f>IF(LEN(Table2[[#This Row],[!Name]]) &gt; 0, Table2[[#This Row],[!Name]], "rg:None")</f>
        <v>initials</v>
      </c>
      <c r="V301" s="8" t="str">
        <f>IF(LEN(Table2[[#This Row],[!Description]]) &gt; 0, Table2[[#This Row],[!Description]], "rg:None")</f>
        <v>Initials of the user, to be presented where screen space is at a premium.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7</v>
      </c>
      <c r="C302" s="5">
        <v>255</v>
      </c>
      <c r="D302" s="5" t="s">
        <v>43</v>
      </c>
      <c r="E302" s="54" t="s">
        <v>326</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255</v>
      </c>
      <c r="U302" s="8" t="str">
        <f>IF(LEN(Table2[[#This Row],[!Name]]) &gt; 0, Table2[[#This Row],[!Name]], "rg:None")</f>
        <v>email</v>
      </c>
      <c r="V302" s="8" t="str">
        <f>IF(LEN(Table2[[#This Row],[!Description]]) &gt; 0, Table2[[#This Row],[!Description]], "rg:None")</f>
        <v>The email address of the user in the system.</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ht="28.8" x14ac:dyDescent="0.3">
      <c r="A303" s="5" t="s">
        <v>0</v>
      </c>
      <c r="B303" s="5" t="s">
        <v>9</v>
      </c>
      <c r="D303" s="5" t="s">
        <v>41</v>
      </c>
      <c r="E303" s="54" t="s">
        <v>327</v>
      </c>
      <c r="F303" s="5" t="s">
        <v>5</v>
      </c>
      <c r="G303" s="4" t="s">
        <v>62</v>
      </c>
      <c r="H303" s="4"/>
      <c r="I303" s="5" t="str">
        <f t="shared" si="28"/>
        <v>Defs</v>
      </c>
      <c r="J303" s="8" t="str">
        <f>IF(Table2[[#This Row],[!Type]]=J$1, J$1,"rg:None")</f>
        <v>boolean</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active</v>
      </c>
      <c r="V303" s="8" t="str">
        <f>IF(LEN(Table2[[#This Row],[!Description]]) &gt; 0, Table2[[#This Row],[!Description]], "rg:None")</f>
        <v>A flag indicating the User is active in the system. Set false to remove access to the system for the user.</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5" t="s">
        <v>0</v>
      </c>
      <c r="B304" s="5" t="s">
        <v>7</v>
      </c>
      <c r="C304" s="5">
        <v>255</v>
      </c>
      <c r="D304" s="5" t="s">
        <v>44</v>
      </c>
      <c r="E304" s="54" t="s">
        <v>45</v>
      </c>
      <c r="F304" s="5" t="s">
        <v>5</v>
      </c>
      <c r="G304" s="4"/>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smUserId</v>
      </c>
      <c r="V304" s="8" t="str">
        <f>IF(LEN(Table2[[#This Row],[!Description]]) &gt; 0, Table2[[#This Row],[!Description]], "rg:None")</f>
        <v>Security Manager User ID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ht="57.6" x14ac:dyDescent="0.3">
      <c r="A305" s="5" t="s">
        <v>0</v>
      </c>
      <c r="B305" s="5" t="s">
        <v>7</v>
      </c>
      <c r="C305" s="5">
        <v>255</v>
      </c>
      <c r="D305" s="5" t="s">
        <v>46</v>
      </c>
      <c r="E305" s="54" t="s">
        <v>328</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guid</v>
      </c>
      <c r="V305"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255</v>
      </c>
      <c r="D306" s="5" t="s">
        <v>47</v>
      </c>
      <c r="E306" s="54" t="s">
        <v>329</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255</v>
      </c>
      <c r="U306" s="8" t="str">
        <f>IF(LEN(Table2[[#This Row],[!Name]]) &gt; 0, Table2[[#This Row],[!Name]], "rg:None")</f>
        <v>smAuthorizationDirectory</v>
      </c>
      <c r="V306" s="8" t="str">
        <f>IF(LEN(Table2[[#This Row],[!Description]]) &gt; 0, Table2[[#This Row],[!Description]], "rg:None")</f>
        <v>The user directory service used by Siteminder to authenticate the user - usually IDIR or BCeID.</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19</v>
      </c>
      <c r="D307" s="5" t="s">
        <v>48</v>
      </c>
      <c r="F307" s="5" t="s">
        <v>50</v>
      </c>
      <c r="G307" s="4"/>
      <c r="H307" s="4"/>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userRoles</v>
      </c>
      <c r="V307" s="8" t="str">
        <f>IF(LEN(Table2[[#This Row],[!Description]]) &gt; 0, Table2[[#This Row],[!Description]], "rg:None")</f>
        <v>rg:None</v>
      </c>
      <c r="W307" s="8" t="str">
        <f>IF(LEN(Table2[[#This Row],[!FK]])&gt;0,Table2[[#This Row],[!FK]],"rg:None")</f>
        <v>UserRole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19</v>
      </c>
      <c r="D308" s="5" t="s">
        <v>49</v>
      </c>
      <c r="F308" s="5" t="s">
        <v>59</v>
      </c>
      <c r="G308" s="4"/>
      <c r="H308" s="4"/>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groupMemberships</v>
      </c>
      <c r="V308" s="8" t="str">
        <f>IF(LEN(Table2[[#This Row],[!Description]]) &gt; 0, Table2[[#This Row],[!Description]], "rg:None")</f>
        <v>rg:None</v>
      </c>
      <c r="W308" s="8" t="str">
        <f>IF(LEN(Table2[[#This Row],[!FK]])&gt;0,Table2[[#This Row],[!FK]],"rg:None")</f>
        <v>GroupMembership</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67" t="s">
        <v>0</v>
      </c>
      <c r="B309" s="67" t="s">
        <v>8</v>
      </c>
      <c r="C309" s="72"/>
      <c r="D309" s="67" t="s">
        <v>32</v>
      </c>
      <c r="E309" s="47" t="s">
        <v>434</v>
      </c>
      <c r="F309" s="68" t="s">
        <v>32</v>
      </c>
      <c r="G309" s="18"/>
      <c r="H309" s="18"/>
      <c r="I309" s="4" t="str">
        <f>IF(LEN(A309) &gt; 0,"Defs","-")</f>
        <v>Defs</v>
      </c>
      <c r="J309" s="14" t="str">
        <f>IF(Table2[[#This Row],[!Type]]=J$1, J$1,"rg:None")</f>
        <v>rg:None</v>
      </c>
      <c r="K309" s="14" t="str">
        <f>IF(Table2[[#This Row],[!Type]]=K$1, K$1,"rg:None")</f>
        <v>rg:None</v>
      </c>
      <c r="L309" s="14" t="str">
        <f>IF(Table2[[#This Row],[!Type]]=L$1, L$1,"rg:None")</f>
        <v>rg:None</v>
      </c>
      <c r="M309" s="14" t="str">
        <f>IF(Table2[[#This Row],[!Type]]=M$1, M$1,"rg:None")</f>
        <v>rg:None</v>
      </c>
      <c r="N309" s="14" t="str">
        <f>IF(Table2[[#This Row],[!Type]]=N$1, N$1,"rg:None")</f>
        <v>rg:None</v>
      </c>
      <c r="O309" s="14" t="str">
        <f>IF(Table2[[#This Row],[!Type]]=O$1, O$1,"rg:None")</f>
        <v>rg:None</v>
      </c>
      <c r="P309" s="4" t="str">
        <f>IF(Table2[[#This Row],[!Type]]=P$1, P$1,"rg:None")</f>
        <v>rg:None</v>
      </c>
      <c r="Q309" s="4" t="str">
        <f>IF(Table2[[#This Row],[!Type]]=Q$1, Q$1,"rg:None")</f>
        <v>ref</v>
      </c>
      <c r="R309" s="4" t="str">
        <f>IF(Table2[[#This Row],[!Type]]=R$1, R$1,"rg:None")</f>
        <v>rg:None</v>
      </c>
      <c r="S309" s="4" t="str">
        <f>IF(Table2[[#This Row],[!Type]]=S$1, S$1,"rg:None")</f>
        <v>rg:None</v>
      </c>
      <c r="T309" s="14" t="str">
        <f>IF(LEN(Table2[[#This Row],[!Length]]) &gt; 0, Table2[[#This Row],[!Length]], "rg:None")</f>
        <v>rg:None</v>
      </c>
      <c r="U309" s="14" t="str">
        <f>IF(LEN(Table2[[#This Row],[!Name]]) &gt; 0, Table2[[#This Row],[!Name]], "rg:None")</f>
        <v>District</v>
      </c>
      <c r="V309" s="14" t="str">
        <f>IF(LEN(Table2[[#This Row],[!Description]]) &gt; 0, Table2[[#This Row],[!Description]], "rg:None")</f>
        <v>The District that the User belongs to</v>
      </c>
      <c r="W309" s="14" t="str">
        <f>IF(LEN(Table2[[#This Row],[!FK]])&gt;0,Table2[[#This Row],[!FK]],"rg:None")</f>
        <v>District</v>
      </c>
      <c r="X309" s="14" t="str">
        <f>IF(LEN(concatif2(A:A,Table2[[#This Row],[!Table]],G:G,"Y",D:D,",")) &gt; 0,"rg:[ { 'req' : '"&amp;concatif2(A:A,Table2[[#This Row],[!Table]],G:G,"Y",D:D,"' }, { 'req': '")&amp;"'} ]","rg:[]")</f>
        <v>rg:[ { 'req' : 'id' }, { 'req': 'givenName' }, { 'req': 'surname' }, { 'req': 'active'} ]</v>
      </c>
      <c r="Y309" s="14" t="str">
        <f>IF(LEN(Table2[[#This Row],[!Unique]])&gt;0,"rg:True","rg:None")</f>
        <v>rg:None</v>
      </c>
    </row>
    <row r="310" spans="1:25" ht="28.8" x14ac:dyDescent="0.3">
      <c r="A310" s="5" t="s">
        <v>50</v>
      </c>
      <c r="B310" s="5" t="s">
        <v>4</v>
      </c>
      <c r="D310" s="5" t="s">
        <v>50</v>
      </c>
      <c r="E310" s="54" t="s">
        <v>330</v>
      </c>
      <c r="F310" s="5" t="s">
        <v>5</v>
      </c>
      <c r="G310" s="4"/>
      <c r="H310" s="4"/>
      <c r="I310" s="5" t="str">
        <f t="shared" si="28"/>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UserRole</v>
      </c>
      <c r="V310"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Row],[!Unique]])&gt;0,"rg:True","rg:None")</f>
        <v>rg:None</v>
      </c>
    </row>
    <row r="311" spans="1:25" x14ac:dyDescent="0.3">
      <c r="A311" s="5" t="s">
        <v>50</v>
      </c>
      <c r="B311" s="5" t="s">
        <v>6</v>
      </c>
      <c r="D311" s="5" t="s">
        <v>6</v>
      </c>
      <c r="E311" s="54" t="s">
        <v>331</v>
      </c>
      <c r="F311" s="5" t="s">
        <v>5</v>
      </c>
      <c r="G311" s="4" t="s">
        <v>62</v>
      </c>
      <c r="H311" s="4"/>
      <c r="I311" s="5" t="str">
        <f t="shared" si="28"/>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UserRole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Row],[!Unique]])&gt;0,"rg:True","rg:None")</f>
        <v>rg:None</v>
      </c>
    </row>
    <row r="312" spans="1:25" x14ac:dyDescent="0.3">
      <c r="A312" s="5" t="s">
        <v>50</v>
      </c>
      <c r="B312" s="5" t="s">
        <v>12</v>
      </c>
      <c r="D312" s="5" t="s">
        <v>51</v>
      </c>
      <c r="E312" s="54" t="s">
        <v>332</v>
      </c>
      <c r="F312" s="5" t="s">
        <v>5</v>
      </c>
      <c r="G312" s="4" t="s">
        <v>62</v>
      </c>
      <c r="H312" s="4"/>
      <c r="I312" s="5" t="str">
        <f t="shared" si="28"/>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effectiveDate</v>
      </c>
      <c r="V312" s="8" t="str">
        <f>IF(LEN(Table2[[#This Row],[!Description]]) &gt; 0, Table2[[#This Row],[!Description]], "rg:None")</f>
        <v>The date on which the user was given the related role.</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Row],[!Unique]])&gt;0,"rg:True","rg:None")</f>
        <v>rg:None</v>
      </c>
    </row>
    <row r="313" spans="1:25" x14ac:dyDescent="0.3">
      <c r="A313" s="5" t="s">
        <v>50</v>
      </c>
      <c r="B313" s="5" t="s">
        <v>12</v>
      </c>
      <c r="D313" s="5" t="s">
        <v>52</v>
      </c>
      <c r="E313" s="54" t="s">
        <v>333</v>
      </c>
      <c r="F313" s="5" t="s">
        <v>5</v>
      </c>
      <c r="G313" s="4"/>
      <c r="H313" s="4"/>
      <c r="I313" s="5" t="str">
        <f t="shared" si="28"/>
        <v>Defs</v>
      </c>
      <c r="J313" s="8" t="str">
        <f>IF(Table2[[#This Row],[!Type]]=J$1, J$1,"rg:None")</f>
        <v>rg:None</v>
      </c>
      <c r="K313" s="8" t="str">
        <f>IF(Table2[[#This Row],[!Type]]=K$1, K$1,"rg:None")</f>
        <v>rg:None</v>
      </c>
      <c r="L313" s="8" t="str">
        <f>IF(Table2[[#This Row],[!Type]]=L$1, L$1,"rg:None")</f>
        <v>datetime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expiryDate</v>
      </c>
      <c r="V313" s="8" t="str">
        <f>IF(LEN(Table2[[#This Row],[!Description]]) &gt; 0, Table2[[#This Row],[!Description]], "rg:None")</f>
        <v>The date on which a role previously assigned to a user was removed from that user.</v>
      </c>
      <c r="W313" s="8" t="str">
        <f>IF(LEN(Table2[[#This Row],[!FK]])&gt;0,Table2[[#This Row],[!FK]],"rg:None")</f>
        <v>rg:None</v>
      </c>
      <c r="X313" s="8" t="str">
        <f>IF(LEN(concatif2(A:A,Table2[[#This Row],[!Table]],G:G,"Y",D:D,",")) &gt; 0,"rg:[ { 'req' : '"&amp;concatif2(A:A,Table2[[#This Row],[!Table]],G:G,"Y",D:D,"' }, { 'req': '")&amp;"'} ]","rg:[]")</f>
        <v>rg:[ { 'req' : 'id' }, { 'req': 'effectiveDate'} ]</v>
      </c>
      <c r="Y313" s="8" t="str">
        <f>IF(LEN(Table2[[#This Row],[!Unique]])&gt;0,"rg:True","rg:None")</f>
        <v>rg:None</v>
      </c>
    </row>
    <row r="314" spans="1:25" x14ac:dyDescent="0.3">
      <c r="A314" s="5" t="s">
        <v>50</v>
      </c>
      <c r="B314" s="5" t="s">
        <v>8</v>
      </c>
      <c r="D314" s="5" t="s">
        <v>18</v>
      </c>
      <c r="E314" s="130" t="s">
        <v>546</v>
      </c>
      <c r="F314" s="5" t="s">
        <v>53</v>
      </c>
      <c r="G314" s="4"/>
      <c r="H314" s="4"/>
      <c r="I314" s="5" t="str">
        <f t="shared" si="28"/>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role</v>
      </c>
      <c r="V314" s="8" t="str">
        <f>IF(LEN(Table2[[#This Row],[!Description]]) &gt; 0, Table2[[#This Row],[!Description]], "rg:None")</f>
        <v>A foreign key reference to the system-generated unique identifier for a Role</v>
      </c>
      <c r="W314" s="8" t="str">
        <f>IF(LEN(Table2[[#This Row],[!FK]])&gt;0,Table2[[#This Row],[!FK]],"rg:None")</f>
        <v>Role</v>
      </c>
      <c r="X314" s="8" t="str">
        <f>IF(LEN(concatif2(A:A,Table2[[#This Row],[!Table]],G:G,"Y",D:D,",")) &gt; 0,"rg:[ { 'req' : '"&amp;concatif2(A:A,Table2[[#This Row],[!Table]],G:G,"Y",D:D,"' }, { 'req': '")&amp;"'} ]","rg:[]")</f>
        <v>rg:[ { 'req' : 'id' }, { 'req': 'effectiveDate'} ]</v>
      </c>
      <c r="Y314" s="8" t="str">
        <f>IF(LEN(Table2[[#This Row],[!Unique]])&gt;0,"rg:True","rg:None")</f>
        <v>rg:None</v>
      </c>
    </row>
    <row r="315" spans="1:25" ht="43.2" x14ac:dyDescent="0.3">
      <c r="A315" s="5" t="s">
        <v>53</v>
      </c>
      <c r="B315" s="5" t="s">
        <v>4</v>
      </c>
      <c r="D315" s="5" t="s">
        <v>53</v>
      </c>
      <c r="E315" s="76" t="s">
        <v>373</v>
      </c>
      <c r="F315" s="5" t="s">
        <v>5</v>
      </c>
      <c r="G315" s="4"/>
      <c r="H315" s="4"/>
      <c r="I315" s="5" t="str">
        <f t="shared" si="28"/>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8" t="str">
        <f>IF(LEN(Table2[[#This Row],[!Length]]) &gt; 0, Table2[[#This Row],[!Length]], "rg:None")</f>
        <v>rg:None</v>
      </c>
      <c r="U315" s="8" t="str">
        <f>IF(LEN(Table2[[#This Row],[!Name]]) &gt; 0, Table2[[#This Row],[!Name]], "rg:None")</f>
        <v>Role</v>
      </c>
      <c r="V315"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Row],[!Unique]])&gt;0,"rg:True","rg:None")</f>
        <v>rg:None</v>
      </c>
    </row>
    <row r="316" spans="1:25" x14ac:dyDescent="0.3">
      <c r="A316" s="5" t="s">
        <v>53</v>
      </c>
      <c r="B316" s="5" t="s">
        <v>6</v>
      </c>
      <c r="D316" s="5" t="s">
        <v>6</v>
      </c>
      <c r="E316" s="54" t="s">
        <v>334</v>
      </c>
      <c r="F316" s="5" t="s">
        <v>5</v>
      </c>
      <c r="G316" s="4" t="s">
        <v>62</v>
      </c>
      <c r="H316" s="4"/>
      <c r="I316" s="5" t="str">
        <f t="shared" si="28"/>
        <v>Defs</v>
      </c>
      <c r="J316" s="8" t="str">
        <f>IF(Table2[[#This Row],[!Type]]=J$1, J$1,"rg:None")</f>
        <v>rg:None</v>
      </c>
      <c r="K316" s="8" t="str">
        <f>IF(Table2[[#This Row],[!Type]]=K$1, K$1,"rg:None")</f>
        <v>rg:None</v>
      </c>
      <c r="L316" s="8" t="str">
        <f>IF(Table2[[#This Row],[!Type]]=L$1, L$1,"rg:None")</f>
        <v>rg:None</v>
      </c>
      <c r="M316" s="8" t="str">
        <f>IF(Table2[[#This Row],[!Type]]=M$1, M$1,"rg:None")</f>
        <v>id</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id</v>
      </c>
      <c r="V316" s="8" t="str">
        <f>IF(LEN(Table2[[#This Row],[!Description]]) &gt; 0, Table2[[#This Row],[!Description]], "rg:None")</f>
        <v>A system-generated unique identifier for a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Row],[!Unique]])&gt;0,"rg:True","rg:None")</f>
        <v>rg:None</v>
      </c>
    </row>
    <row r="317" spans="1:25" x14ac:dyDescent="0.3">
      <c r="A317" s="5" t="s">
        <v>53</v>
      </c>
      <c r="B317" s="5" t="s">
        <v>7</v>
      </c>
      <c r="C317" s="5">
        <v>255</v>
      </c>
      <c r="D317" s="5" t="s">
        <v>15</v>
      </c>
      <c r="E317" s="54" t="s">
        <v>335</v>
      </c>
      <c r="F317" s="5" t="s">
        <v>5</v>
      </c>
      <c r="G317" s="4" t="s">
        <v>62</v>
      </c>
      <c r="H317" s="4"/>
      <c r="I317" s="5" t="str">
        <f t="shared" si="28"/>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255</v>
      </c>
      <c r="U317" s="8" t="str">
        <f>IF(LEN(Table2[[#This Row],[!Name]]) &gt; 0, Table2[[#This Row],[!Name]], "rg:None")</f>
        <v>name</v>
      </c>
      <c r="V317" s="8" t="str">
        <f>IF(LEN(Table2[[#This Row],[!Description]]) &gt; 0, Table2[[#This Row],[!Description]], "rg:None")</f>
        <v>The name of the Role, as established by the user creating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Row],[!Unique]])&gt;0,"rg:True","rg:None")</f>
        <v>rg:None</v>
      </c>
    </row>
    <row r="318" spans="1:25" x14ac:dyDescent="0.3">
      <c r="A318" s="5" t="s">
        <v>53</v>
      </c>
      <c r="B318" s="5" t="s">
        <v>7</v>
      </c>
      <c r="C318" s="5">
        <v>2048</v>
      </c>
      <c r="D318" s="5" t="s">
        <v>14</v>
      </c>
      <c r="E318" s="54" t="s">
        <v>336</v>
      </c>
      <c r="F318" s="5" t="s">
        <v>5</v>
      </c>
      <c r="G318" s="4" t="s">
        <v>62</v>
      </c>
      <c r="H318" s="4"/>
      <c r="I318" s="5" t="str">
        <f t="shared" si="28"/>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2048</v>
      </c>
      <c r="U318" s="8" t="str">
        <f>IF(LEN(Table2[[#This Row],[!Name]]) &gt; 0, Table2[[#This Row],[!Name]], "rg:None")</f>
        <v>description</v>
      </c>
      <c r="V318" s="8" t="str">
        <f>IF(LEN(Table2[[#This Row],[!Description]]) &gt; 0, Table2[[#This Row],[!Description]], "rg:None")</f>
        <v>A description of the role as set by the user creating/updating the role.</v>
      </c>
      <c r="W318" s="8" t="str">
        <f>IF(LEN(Table2[[#This Row],[!FK]])&gt;0,Table2[[#This Row],[!FK]],"rg:None")</f>
        <v>rg:None</v>
      </c>
      <c r="X318" s="8" t="str">
        <f>IF(LEN(concatif2(A:A,Table2[[#This Row],[!Table]],G:G,"Y",D:D,",")) &gt; 0,"rg:[ { 'req' : '"&amp;concatif2(A:A,Table2[[#This Row],[!Table]],G:G,"Y",D:D,"' }, { 'req': '")&amp;"'} ]","rg:[]")</f>
        <v>rg:[ { 'req' : 'id' }, { 'req': 'name' }, { 'req': 'description'} ]</v>
      </c>
      <c r="Y318" s="8" t="str">
        <f>IF(LEN(Table2[[#This Row],[!Unique]])&gt;0,"rg:True","rg:None")</f>
        <v>rg:None</v>
      </c>
    </row>
    <row r="319" spans="1:25" x14ac:dyDescent="0.3">
      <c r="A319" s="5" t="s">
        <v>53</v>
      </c>
      <c r="B319" s="5" t="s">
        <v>19</v>
      </c>
      <c r="D319" s="5" t="s">
        <v>54</v>
      </c>
      <c r="F319" s="5" t="s">
        <v>55</v>
      </c>
      <c r="G319" s="4"/>
      <c r="H319" s="4"/>
      <c r="I319" s="5" t="str">
        <f t="shared" si="28"/>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rolePermissions</v>
      </c>
      <c r="V319" s="8" t="str">
        <f>IF(LEN(Table2[[#This Row],[!Description]]) &gt; 0, Table2[[#This Row],[!Description]], "rg:None")</f>
        <v>rg:None</v>
      </c>
      <c r="W319" s="8" t="str">
        <f>IF(LEN(Table2[[#This Row],[!FK]])&gt;0,Table2[[#This Row],[!FK]],"rg:None")</f>
        <v>RolePermission</v>
      </c>
      <c r="X319" s="8" t="str">
        <f>IF(LEN(concatif2(A:A,Table2[[#This Row],[!Table]],G:G,"Y",D:D,",")) &gt; 0,"rg:[ { 'req' : '"&amp;concatif2(A:A,Table2[[#This Row],[!Table]],G:G,"Y",D:D,"' }, { 'req': '")&amp;"'} ]","rg:[]")</f>
        <v>rg:[ { 'req' : 'id' }, { 'req': 'name' }, { 'req': 'description'} ]</v>
      </c>
      <c r="Y319" s="8" t="str">
        <f>IF(LEN(Table2[[#This Row],[!Unique]])&gt;0,"rg:True","rg:None")</f>
        <v>rg:None</v>
      </c>
    </row>
    <row r="320" spans="1:25" x14ac:dyDescent="0.3">
      <c r="A320" s="5" t="s">
        <v>53</v>
      </c>
      <c r="B320" s="5" t="s">
        <v>19</v>
      </c>
      <c r="D320" s="5" t="s">
        <v>48</v>
      </c>
      <c r="F320" s="5" t="s">
        <v>50</v>
      </c>
      <c r="G320" s="4"/>
      <c r="H320" s="4"/>
      <c r="I320" s="5" t="str">
        <f t="shared" si="28"/>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userRoles</v>
      </c>
      <c r="V320" s="8" t="str">
        <f>IF(LEN(Table2[[#This Row],[!Description]]) &gt; 0, Table2[[#This Row],[!Description]], "rg:None")</f>
        <v>rg:None</v>
      </c>
      <c r="W320" s="8" t="str">
        <f>IF(LEN(Table2[[#This Row],[!FK]])&gt;0,Table2[[#This Row],[!FK]],"rg:None")</f>
        <v>UserRole</v>
      </c>
      <c r="X320" s="8" t="str">
        <f>IF(LEN(concatif2(A:A,Table2[[#This Row],[!Table]],G:G,"Y",D:D,",")) &gt; 0,"rg:[ { 'req' : '"&amp;concatif2(A:A,Table2[[#This Row],[!Table]],G:G,"Y",D:D,"' }, { 'req': '")&amp;"'} ]","rg:[]")</f>
        <v>rg:[ { 'req' : 'id' }, { 'req': 'name' }, { 'req': 'description'} ]</v>
      </c>
      <c r="Y320" s="8" t="str">
        <f>IF(LEN(Table2[[#This Row],[!Unique]])&gt;0,"rg:True","rg:None")</f>
        <v>rg:None</v>
      </c>
    </row>
    <row r="321" spans="1:25" ht="28.8" x14ac:dyDescent="0.3">
      <c r="A321" s="5" t="s">
        <v>55</v>
      </c>
      <c r="B321" s="5" t="s">
        <v>4</v>
      </c>
      <c r="D321" s="5" t="s">
        <v>55</v>
      </c>
      <c r="E321" s="76" t="s">
        <v>374</v>
      </c>
      <c r="F321" s="5" t="s">
        <v>5</v>
      </c>
      <c r="G321" s="4"/>
      <c r="H321" s="4"/>
      <c r="I321" s="5" t="str">
        <f t="shared" si="28"/>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RolePermission</v>
      </c>
      <c r="V321" s="8" t="str">
        <f>IF(LEN(Table2[[#This Row],[!Description]]) &gt; 0, Table2[[#This Row],[!Description]], "rg:None")</f>
        <v>A permission that is part of a Role - a component of the authorization provided by the Role to the user to which the Role is assigned.</v>
      </c>
      <c r="W321" s="8" t="str">
        <f>IF(LEN(Table2[[#This Row],[!FK]])&gt;0,Table2[[#This Row],[!FK]],"rg:None")</f>
        <v>rg:None</v>
      </c>
      <c r="X321" s="8" t="str">
        <f>IF(LEN(concatif2(A:A,Table2[[#This Row],[!Table]],G:G,"Y",D:D,",")) &gt; 0,"rg:[ { 'req' : '"&amp;concatif2(A:A,Table2[[#This Row],[!Table]],G:G,"Y",D:D,"' }, { 'req': '")&amp;"'} ]","rg:[]")</f>
        <v>rg:[ { 'req' : 'id'} ]</v>
      </c>
      <c r="Y321" s="8" t="str">
        <f>IF(LEN(Table2[[#This Row],[!Unique]])&gt;0,"rg:True","rg:None")</f>
        <v>rg:None</v>
      </c>
    </row>
    <row r="322" spans="1:25" x14ac:dyDescent="0.3">
      <c r="A322" s="5" t="s">
        <v>55</v>
      </c>
      <c r="B322" s="5" t="s">
        <v>6</v>
      </c>
      <c r="D322" s="5" t="s">
        <v>6</v>
      </c>
      <c r="E322" s="54" t="s">
        <v>337</v>
      </c>
      <c r="F322" s="5" t="s">
        <v>5</v>
      </c>
      <c r="G322" s="4" t="s">
        <v>62</v>
      </c>
      <c r="H322" s="4"/>
      <c r="I322" s="5" t="str">
        <f t="shared" si="28"/>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RolePermission</v>
      </c>
      <c r="W322" s="8" t="str">
        <f>IF(LEN(Table2[[#This Row],[!FK]])&gt;0,Table2[[#This Row],[!FK]],"rg:None")</f>
        <v>rg:None</v>
      </c>
      <c r="X322" s="8" t="str">
        <f>IF(LEN(concatif2(A:A,Table2[[#This Row],[!Table]],G:G,"Y",D:D,",")) &gt; 0,"rg:[ { 'req' : '"&amp;concatif2(A:A,Table2[[#This Row],[!Table]],G:G,"Y",D:D,"' }, { 'req': '")&amp;"'} ]","rg:[]")</f>
        <v>rg:[ { 'req' : 'id'} ]</v>
      </c>
      <c r="Y322" s="8" t="str">
        <f>IF(LEN(Table2[[#This Row],[!Unique]])&gt;0,"rg:True","rg:None")</f>
        <v>rg:None</v>
      </c>
    </row>
    <row r="323" spans="1:25" x14ac:dyDescent="0.3">
      <c r="A323" s="5" t="s">
        <v>55</v>
      </c>
      <c r="B323" s="5" t="s">
        <v>8</v>
      </c>
      <c r="D323" s="5" t="s">
        <v>18</v>
      </c>
      <c r="F323" s="5" t="s">
        <v>53</v>
      </c>
      <c r="G323" s="4"/>
      <c r="H323" s="4"/>
      <c r="I323" s="5" t="str">
        <f t="shared" si="28"/>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rg:None</v>
      </c>
      <c r="W323" s="8" t="str">
        <f>IF(LEN(Table2[[#This Row],[!FK]])&gt;0,Table2[[#This Row],[!FK]],"rg:None")</f>
        <v>Role</v>
      </c>
      <c r="X323" s="8" t="str">
        <f>IF(LEN(concatif2(A:A,Table2[[#This Row],[!Table]],G:G,"Y",D:D,",")) &gt; 0,"rg:[ { 'req' : '"&amp;concatif2(A:A,Table2[[#This Row],[!Table]],G:G,"Y",D:D,"' }, { 'req': '")&amp;"'} ]","rg:[]")</f>
        <v>rg:[ { 'req' : 'id'} ]</v>
      </c>
      <c r="Y323" s="8" t="str">
        <f>IF(LEN(Table2[[#This Row],[!Unique]])&gt;0,"rg:True","rg:None")</f>
        <v>rg:None</v>
      </c>
    </row>
    <row r="324" spans="1:25" x14ac:dyDescent="0.3">
      <c r="A324" s="5" t="s">
        <v>55</v>
      </c>
      <c r="B324" s="5" t="s">
        <v>8</v>
      </c>
      <c r="D324" s="5" t="s">
        <v>56</v>
      </c>
      <c r="E324" s="130" t="s">
        <v>547</v>
      </c>
      <c r="F324" s="5" t="s">
        <v>57</v>
      </c>
      <c r="G324" s="4"/>
      <c r="H324" s="4"/>
      <c r="I324" s="5" t="str">
        <f t="shared" si="28"/>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permission</v>
      </c>
      <c r="V324" s="8" t="str">
        <f>IF(LEN(Table2[[#This Row],[!Description]]) &gt; 0, Table2[[#This Row],[!Description]], "rg:None")</f>
        <v>A foreign key reference to the system-generated unique identifier for a Permission</v>
      </c>
      <c r="W324" s="8" t="str">
        <f>IF(LEN(Table2[[#This Row],[!FK]])&gt;0,Table2[[#This Row],[!FK]],"rg:None")</f>
        <v>Permission</v>
      </c>
      <c r="X324" s="8" t="str">
        <f>IF(LEN(concatif2(A:A,Table2[[#This Row],[!Table]],G:G,"Y",D:D,",")) &gt; 0,"rg:[ { 'req' : '"&amp;concatif2(A:A,Table2[[#This Row],[!Table]],G:G,"Y",D:D,"' }, { 'req': '")&amp;"'} ]","rg:[]")</f>
        <v>rg:[ { 'req' : 'id'} ]</v>
      </c>
      <c r="Y324" s="8" t="str">
        <f>IF(LEN(Table2[[#This Row],[!Unique]])&gt;0,"rg:True","rg:None")</f>
        <v>rg:None</v>
      </c>
    </row>
    <row r="325" spans="1:25" ht="72" x14ac:dyDescent="0.3">
      <c r="A325" s="5" t="s">
        <v>57</v>
      </c>
      <c r="B325" s="5" t="s">
        <v>4</v>
      </c>
      <c r="D325" s="5" t="s">
        <v>57</v>
      </c>
      <c r="E325" s="76" t="s">
        <v>375</v>
      </c>
      <c r="F325" s="5" t="s">
        <v>5</v>
      </c>
      <c r="G325" s="4"/>
      <c r="H325" s="4"/>
      <c r="I325" s="5" t="str">
        <f t="shared" si="28"/>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Permission</v>
      </c>
      <c r="V325"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5" s="8" t="str">
        <f>IF(LEN(Table2[[#This Row],[!FK]])&gt;0,Table2[[#This Row],[!FK]],"rg:None")</f>
        <v>rg:None</v>
      </c>
      <c r="X325" s="8" t="str">
        <f>IF(LEN(concatif2(A:A,Table2[[#This Row],[!Table]],G:G,"Y",D:D,",")) &gt; 0,"rg:[ { 'req' : '"&amp;concatif2(A:A,Table2[[#This Row],[!Table]],G:G,"Y",D:D,"' }, { 'req': '")&amp;"'} ]","rg:[]")</f>
        <v>rg:[ { 'req' : 'id' }, { 'req': 'code' }, { 'req': 'name' }, { 'req': 'description'} ]</v>
      </c>
      <c r="Y325" s="8" t="str">
        <f>IF(LEN(Table2[[#This Row],[!Unique]])&gt;0,"rg:True","rg:None")</f>
        <v>rg:None</v>
      </c>
    </row>
    <row r="326" spans="1:25" x14ac:dyDescent="0.3">
      <c r="A326" s="5" t="s">
        <v>57</v>
      </c>
      <c r="B326" s="5" t="s">
        <v>6</v>
      </c>
      <c r="D326" s="5" t="s">
        <v>6</v>
      </c>
      <c r="E326" s="54" t="s">
        <v>338</v>
      </c>
      <c r="F326" s="5" t="s">
        <v>5</v>
      </c>
      <c r="G326" s="4" t="s">
        <v>62</v>
      </c>
      <c r="H326" s="4"/>
      <c r="I326" s="5" t="str">
        <f t="shared" si="28"/>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Permission</v>
      </c>
      <c r="W326" s="8" t="str">
        <f>IF(LEN(Table2[[#This Row],[!FK]])&gt;0,Table2[[#This Row],[!FK]],"rg:None")</f>
        <v>rg:None</v>
      </c>
      <c r="X326" s="8" t="str">
        <f>IF(LEN(concatif2(A:A,Table2[[#This Row],[!Table]],G:G,"Y",D:D,",")) &gt; 0,"rg:[ { 'req' : '"&amp;concatif2(A:A,Table2[[#This Row],[!Table]],G:G,"Y",D:D,"' }, { 'req': '")&amp;"'} ]","rg:[]")</f>
        <v>rg:[ { 'req' : 'id' }, { 'req': 'code' }, { 'req': 'name' }, { 'req': 'description'} ]</v>
      </c>
      <c r="Y326" s="8" t="str">
        <f>IF(LEN(Table2[[#This Row],[!Unique]])&gt;0,"rg:True","rg:None")</f>
        <v>rg:None</v>
      </c>
    </row>
    <row r="327" spans="1:25" x14ac:dyDescent="0.3">
      <c r="A327" s="5" t="s">
        <v>57</v>
      </c>
      <c r="B327" s="5" t="s">
        <v>7</v>
      </c>
      <c r="C327" s="5">
        <v>50</v>
      </c>
      <c r="D327" s="5" t="s">
        <v>58</v>
      </c>
      <c r="E327" s="54" t="s">
        <v>339</v>
      </c>
      <c r="F327" s="5" t="s">
        <v>5</v>
      </c>
      <c r="G327" s="4" t="s">
        <v>62</v>
      </c>
      <c r="H327" s="4"/>
      <c r="I327" s="5" t="str">
        <f t="shared" si="28"/>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50</v>
      </c>
      <c r="U327" s="8" t="str">
        <f>IF(LEN(Table2[[#This Row],[!Name]]) &gt; 0, Table2[[#This Row],[!Name]], "rg:None")</f>
        <v>code</v>
      </c>
      <c r="V327" s="8" t="str">
        <f>IF(LEN(Table2[[#This Row],[!Description]]) &gt; 0, Table2[[#This Row],[!Description]], "rg:None")</f>
        <v>The name of the permission referenced in the software of the application.</v>
      </c>
      <c r="W327" s="8" t="str">
        <f>IF(LEN(Table2[[#This Row],[!FK]])&gt;0,Table2[[#This Row],[!FK]],"rg:None")</f>
        <v>rg:None</v>
      </c>
      <c r="X327" s="8" t="str">
        <f>IF(LEN(concatif2(A:A,Table2[[#This Row],[!Table]],G:G,"Y",D:D,",")) &gt; 0,"rg:[ { 'req' : '"&amp;concatif2(A:A,Table2[[#This Row],[!Table]],G:G,"Y",D:D,"' }, { 'req': '")&amp;"'} ]","rg:[]")</f>
        <v>rg:[ { 'req' : 'id' }, { 'req': 'code' }, { 'req': 'name' }, { 'req': 'description'} ]</v>
      </c>
      <c r="Y327" s="8" t="str">
        <f>IF(LEN(Table2[[#This Row],[!Unique]])&gt;0,"rg:True","rg:None")</f>
        <v>rg:None</v>
      </c>
    </row>
    <row r="328" spans="1:25" ht="28.8" x14ac:dyDescent="0.3">
      <c r="A328" s="5" t="s">
        <v>57</v>
      </c>
      <c r="B328" s="5" t="s">
        <v>7</v>
      </c>
      <c r="C328" s="5">
        <v>150</v>
      </c>
      <c r="D328" s="5" t="s">
        <v>15</v>
      </c>
      <c r="E328" s="54" t="s">
        <v>340</v>
      </c>
      <c r="F328" s="5" t="s">
        <v>5</v>
      </c>
      <c r="G328" s="4" t="s">
        <v>62</v>
      </c>
      <c r="H328" s="4"/>
      <c r="I328" s="5" t="str">
        <f t="shared" si="28"/>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8">
        <f>IF(LEN(Table2[[#This Row],[!Length]]) &gt; 0, Table2[[#This Row],[!Length]], "rg:None")</f>
        <v>150</v>
      </c>
      <c r="U328" s="8" t="str">
        <f>IF(LEN(Table2[[#This Row],[!Name]]) &gt; 0, Table2[[#This Row],[!Name]], "rg:None")</f>
        <v>name</v>
      </c>
      <c r="V328" s="8" t="str">
        <f>IF(LEN(Table2[[#This Row],[!Description]]) &gt; 0, Table2[[#This Row],[!Description]], "rg:None")</f>
        <v>The 'user friendly' name of the permission exposed to the user selecting the permissions to be included in a Role.</v>
      </c>
      <c r="W328" s="8" t="str">
        <f>IF(LEN(Table2[[#This Row],[!FK]])&gt;0,Table2[[#This Row],[!FK]],"rg:None")</f>
        <v>rg:None</v>
      </c>
      <c r="X328" s="8" t="str">
        <f>IF(LEN(concatif2(A:A,Table2[[#This Row],[!Table]],G:G,"Y",D:D,",")) &gt; 0,"rg:[ { 'req' : '"&amp;concatif2(A:A,Table2[[#This Row],[!Table]],G:G,"Y",D:D,"' }, { 'req': '")&amp;"'} ]","rg:[]")</f>
        <v>rg:[ { 'req' : 'id' }, { 'req': 'code' }, { 'req': 'name' }, { 'req': 'description'} ]</v>
      </c>
      <c r="Y328" s="8" t="str">
        <f>IF(LEN(Table2[[#This Row],[!Unique]])&gt;0,"rg:True","rg:None")</f>
        <v>rg:None</v>
      </c>
    </row>
    <row r="329" spans="1:25" ht="28.8" x14ac:dyDescent="0.3">
      <c r="A329" s="5" t="s">
        <v>57</v>
      </c>
      <c r="B329" s="5" t="s">
        <v>7</v>
      </c>
      <c r="C329" s="5">
        <v>2048</v>
      </c>
      <c r="D329" s="5" t="s">
        <v>14</v>
      </c>
      <c r="E329" s="54" t="s">
        <v>341</v>
      </c>
      <c r="F329" s="5" t="s">
        <v>5</v>
      </c>
      <c r="G329" s="4" t="s">
        <v>62</v>
      </c>
      <c r="H329" s="4"/>
      <c r="I329" s="5" t="str">
        <f t="shared" si="28"/>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8">
        <f>IF(LEN(Table2[[#This Row],[!Length]]) &gt; 0, Table2[[#This Row],[!Length]], "rg:None")</f>
        <v>2048</v>
      </c>
      <c r="U329" s="8" t="str">
        <f>IF(LEN(Table2[[#This Row],[!Name]]) &gt; 0, Table2[[#This Row],[!Name]], "rg:None")</f>
        <v>description</v>
      </c>
      <c r="V329" s="8" t="str">
        <f>IF(LEN(Table2[[#This Row],[!Description]]) &gt; 0, Table2[[#This Row],[!Description]], "rg:None")</f>
        <v>A description of the purpose of the permission and exposed to the user selecting the permissions to be included in a Role.</v>
      </c>
      <c r="W329" s="8" t="str">
        <f>IF(LEN(Table2[[#This Row],[!FK]])&gt;0,Table2[[#This Row],[!FK]],"rg:None")</f>
        <v>rg:None</v>
      </c>
      <c r="X329" s="8" t="str">
        <f>IF(LEN(concatif2(A:A,Table2[[#This Row],[!Table]],G:G,"Y",D:D,",")) &gt; 0,"rg:[ { 'req' : '"&amp;concatif2(A:A,Table2[[#This Row],[!Table]],G:G,"Y",D:D,"' }, { 'req': '")&amp;"'} ]","rg:[]")</f>
        <v>rg:[ { 'req' : 'id' }, { 'req': 'code' }, { 'req': 'name' }, { 'req': 'description'} ]</v>
      </c>
      <c r="Y329" s="8" t="str">
        <f>IF(LEN(Table2[[#This Row],[!Unique]])&gt;0,"rg:True","rg:None")</f>
        <v>rg:None</v>
      </c>
    </row>
    <row r="330" spans="1:25" x14ac:dyDescent="0.3">
      <c r="A330" s="5" t="s">
        <v>59</v>
      </c>
      <c r="B330" s="5" t="s">
        <v>4</v>
      </c>
      <c r="D330" s="5" t="s">
        <v>59</v>
      </c>
      <c r="E330" s="54" t="s">
        <v>342</v>
      </c>
      <c r="F330" s="5" t="s">
        <v>5</v>
      </c>
      <c r="G330" s="4"/>
      <c r="H330" s="4"/>
      <c r="I330" s="5" t="str">
        <f t="shared" si="28"/>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GroupMembership</v>
      </c>
      <c r="V330" s="8" t="str">
        <f>IF(LEN(Table2[[#This Row],[!Description]]) &gt; 0, Table2[[#This Row],[!Description]], "rg:None")</f>
        <v>The users associated with a given group that has been defined in the application.</v>
      </c>
      <c r="W330" s="8" t="str">
        <f>IF(LEN(Table2[[#This Row],[!FK]])&gt;0,Table2[[#This Row],[!FK]],"rg:None")</f>
        <v>rg:None</v>
      </c>
      <c r="X330" s="8" t="str">
        <f>IF(LEN(concatif2(A:A,Table2[[#This Row],[!Table]],G:G,"Y",D:D,",")) &gt; 0,"rg:[ { 'req' : '"&amp;concatif2(A:A,Table2[[#This Row],[!Table]],G:G,"Y",D:D,"' }, { 'req': '")&amp;"'} ]","rg:[]")</f>
        <v>rg:[ { 'req' : 'id' }, { 'req': 'active'} ]</v>
      </c>
      <c r="Y330" s="8" t="str">
        <f>IF(LEN(Table2[[#This Row],[!Unique]])&gt;0,"rg:True","rg:None")</f>
        <v>rg:None</v>
      </c>
    </row>
    <row r="331" spans="1:25" x14ac:dyDescent="0.3">
      <c r="A331" s="5" t="s">
        <v>59</v>
      </c>
      <c r="B331" s="5" t="s">
        <v>6</v>
      </c>
      <c r="D331" s="5" t="s">
        <v>6</v>
      </c>
      <c r="E331" s="54" t="s">
        <v>343</v>
      </c>
      <c r="F331" s="5" t="s">
        <v>5</v>
      </c>
      <c r="G331" s="4" t="s">
        <v>62</v>
      </c>
      <c r="H331" s="4"/>
      <c r="I331" s="5" t="str">
        <f t="shared" si="28"/>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GroupMembership</v>
      </c>
      <c r="W331" s="8" t="str">
        <f>IF(LEN(Table2[[#This Row],[!FK]])&gt;0,Table2[[#This Row],[!FK]],"rg:None")</f>
        <v>rg:None</v>
      </c>
      <c r="X331" s="8" t="str">
        <f>IF(LEN(concatif2(A:A,Table2[[#This Row],[!Table]],G:G,"Y",D:D,",")) &gt; 0,"rg:[ { 'req' : '"&amp;concatif2(A:A,Table2[[#This Row],[!Table]],G:G,"Y",D:D,"' }, { 'req': '")&amp;"'} ]","rg:[]")</f>
        <v>rg:[ { 'req' : 'id' }, { 'req': 'active'} ]</v>
      </c>
      <c r="Y331" s="8" t="str">
        <f>IF(LEN(Table2[[#This Row],[!Unique]])&gt;0,"rg:True","rg:None")</f>
        <v>rg:None</v>
      </c>
    </row>
    <row r="332" spans="1:25" ht="28.8" x14ac:dyDescent="0.3">
      <c r="A332" s="5" t="s">
        <v>59</v>
      </c>
      <c r="B332" s="5" t="s">
        <v>9</v>
      </c>
      <c r="D332" s="5" t="s">
        <v>41</v>
      </c>
      <c r="E332" s="54" t="s">
        <v>344</v>
      </c>
      <c r="F332" s="5" t="s">
        <v>5</v>
      </c>
      <c r="G332" s="4" t="s">
        <v>62</v>
      </c>
      <c r="H332" s="4"/>
      <c r="I332" s="5" t="str">
        <f t="shared" si="28"/>
        <v>Defs</v>
      </c>
      <c r="J332" s="8" t="str">
        <f>IF(Table2[[#This Row],[!Type]]=J$1, J$1,"rg:None")</f>
        <v>boolean</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active</v>
      </c>
      <c r="V332" s="8" t="str">
        <f>IF(LEN(Table2[[#This Row],[!Description]]) &gt; 0, Table2[[#This Row],[!Description]], "rg:None")</f>
        <v>A flag indicating the User is active in the group. Set false to remove the user from the designated group.</v>
      </c>
      <c r="W332" s="8" t="str">
        <f>IF(LEN(Table2[[#This Row],[!FK]])&gt;0,Table2[[#This Row],[!FK]],"rg:None")</f>
        <v>rg:None</v>
      </c>
      <c r="X332" s="8" t="str">
        <f>IF(LEN(concatif2(A:A,Table2[[#This Row],[!Table]],G:G,"Y",D:D,",")) &gt; 0,"rg:[ { 'req' : '"&amp;concatif2(A:A,Table2[[#This Row],[!Table]],G:G,"Y",D:D,"' }, { 'req': '")&amp;"'} ]","rg:[]")</f>
        <v>rg:[ { 'req' : 'id' }, { 'req': 'active'} ]</v>
      </c>
      <c r="Y332" s="8" t="str">
        <f>IF(LEN(Table2[[#This Row],[!Unique]])&gt;0,"rg:True","rg:None")</f>
        <v>rg:None</v>
      </c>
    </row>
    <row r="333" spans="1:25" x14ac:dyDescent="0.3">
      <c r="A333" s="5" t="s">
        <v>59</v>
      </c>
      <c r="B333" s="5" t="s">
        <v>8</v>
      </c>
      <c r="D333" s="5" t="s">
        <v>60</v>
      </c>
      <c r="E333" s="130" t="s">
        <v>548</v>
      </c>
      <c r="F333" s="5" t="s">
        <v>61</v>
      </c>
      <c r="G333" s="4"/>
      <c r="H333" s="4"/>
      <c r="I333" s="5" t="str">
        <f t="shared" si="28"/>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group</v>
      </c>
      <c r="V333" s="8" t="str">
        <f>IF(LEN(Table2[[#This Row],[!Description]]) &gt; 0, Table2[[#This Row],[!Description]], "rg:None")</f>
        <v>A foreign key reference to the system-generated unique identifier for a Group</v>
      </c>
      <c r="W333" s="8" t="str">
        <f>IF(LEN(Table2[[#This Row],[!FK]])&gt;0,Table2[[#This Row],[!FK]],"rg:None")</f>
        <v>Group</v>
      </c>
      <c r="X333" s="8" t="str">
        <f>IF(LEN(concatif2(A:A,Table2[[#This Row],[!Table]],G:G,"Y",D:D,",")) &gt; 0,"rg:[ { 'req' : '"&amp;concatif2(A:A,Table2[[#This Row],[!Table]],G:G,"Y",D:D,"' }, { 'req': '")&amp;"'} ]","rg:[]")</f>
        <v>rg:[ { 'req' : 'id' }, { 'req': 'active'} ]</v>
      </c>
      <c r="Y333" s="8" t="str">
        <f>IF(LEN(Table2[[#This Row],[!Unique]])&gt;0,"rg:True","rg:None")</f>
        <v>rg:None</v>
      </c>
    </row>
    <row r="334" spans="1:25" x14ac:dyDescent="0.3">
      <c r="A334" s="5" t="s">
        <v>59</v>
      </c>
      <c r="B334" s="5" t="s">
        <v>8</v>
      </c>
      <c r="D334" s="5" t="s">
        <v>40</v>
      </c>
      <c r="E334" s="130" t="s">
        <v>549</v>
      </c>
      <c r="F334" s="5" t="s">
        <v>0</v>
      </c>
      <c r="G334" s="4"/>
      <c r="H334" s="4"/>
      <c r="I334" s="5" t="str">
        <f t="shared" si="28"/>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user</v>
      </c>
      <c r="V334" s="8" t="str">
        <f>IF(LEN(Table2[[#This Row],[!Description]]) &gt; 0, Table2[[#This Row],[!Description]], "rg:None")</f>
        <v>A foreign key reference to the system-generated unique identifier for a User</v>
      </c>
      <c r="W334" s="8" t="str">
        <f>IF(LEN(Table2[[#This Row],[!FK]])&gt;0,Table2[[#This Row],[!FK]],"rg:None")</f>
        <v>User</v>
      </c>
      <c r="X334" s="8" t="str">
        <f>IF(LEN(concatif2(A:A,Table2[[#This Row],[!Table]],G:G,"Y",D:D,",")) &gt; 0,"rg:[ { 'req' : '"&amp;concatif2(A:A,Table2[[#This Row],[!Table]],G:G,"Y",D:D,"' }, { 'req': '")&amp;"'} ]","rg:[]")</f>
        <v>rg:[ { 'req' : 'id' }, { 'req': 'active'} ]</v>
      </c>
      <c r="Y334" s="8" t="str">
        <f>IF(LEN(Table2[[#This Row],[!Unique]])&gt;0,"rg:True","rg:None")</f>
        <v>rg:None</v>
      </c>
    </row>
    <row r="335" spans="1:25" ht="43.2" x14ac:dyDescent="0.3">
      <c r="A335" s="5" t="s">
        <v>61</v>
      </c>
      <c r="B335" s="5" t="s">
        <v>4</v>
      </c>
      <c r="D335" s="5" t="s">
        <v>61</v>
      </c>
      <c r="E335" s="76" t="s">
        <v>376</v>
      </c>
      <c r="F335" s="5" t="s">
        <v>5</v>
      </c>
      <c r="G335" s="4"/>
      <c r="H335" s="4"/>
      <c r="I335" s="5" t="str">
        <f t="shared" si="28"/>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8" t="str">
        <f>IF(LEN(Table2[[#This Row],[!Length]]) &gt; 0, Table2[[#This Row],[!Length]], "rg:None")</f>
        <v>rg:None</v>
      </c>
      <c r="U335" s="8" t="str">
        <f>IF(LEN(Table2[[#This Row],[!Name]]) &gt; 0, Table2[[#This Row],[!Name]], "rg:None")</f>
        <v>Group</v>
      </c>
      <c r="V335"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5" s="8" t="str">
        <f>IF(LEN(Table2[[#This Row],[!FK]])&gt;0,Table2[[#This Row],[!FK]],"rg:None")</f>
        <v>rg:None</v>
      </c>
      <c r="X335" s="8" t="str">
        <f>IF(LEN(concatif2(A:A,Table2[[#This Row],[!Table]],G:G,"Y",D:D,",")) &gt; 0,"rg:[ { 'req' : '"&amp;concatif2(A:A,Table2[[#This Row],[!Table]],G:G,"Y",D:D,"' }, { 'req': '")&amp;"'} ]","rg:[]")</f>
        <v>rg:[ { 'req' : 'id' }, { 'req': 'name' }, { 'req': 'description'} ]</v>
      </c>
      <c r="Y335" s="8" t="str">
        <f>IF(LEN(Table2[[#This Row],[!Unique]])&gt;0,"rg:True","rg:None")</f>
        <v>rg:None</v>
      </c>
    </row>
    <row r="336" spans="1:25" x14ac:dyDescent="0.3">
      <c r="A336" s="5" t="s">
        <v>61</v>
      </c>
      <c r="B336" s="5" t="s">
        <v>6</v>
      </c>
      <c r="D336" s="5" t="s">
        <v>6</v>
      </c>
      <c r="E336" s="54" t="s">
        <v>345</v>
      </c>
      <c r="F336" s="5" t="s">
        <v>5</v>
      </c>
      <c r="G336" s="4" t="s">
        <v>62</v>
      </c>
      <c r="H336" s="4"/>
      <c r="I336" s="5" t="str">
        <f t="shared" si="28"/>
        <v>Defs</v>
      </c>
      <c r="J336" s="8" t="str">
        <f>IF(Table2[[#This Row],[!Type]]=J$1, J$1,"rg:None")</f>
        <v>rg:None</v>
      </c>
      <c r="K336" s="8" t="str">
        <f>IF(Table2[[#This Row],[!Type]]=K$1, K$1,"rg:None")</f>
        <v>rg:None</v>
      </c>
      <c r="L336" s="8" t="str">
        <f>IF(Table2[[#This Row],[!Type]]=L$1, L$1,"rg:None")</f>
        <v>rg:None</v>
      </c>
      <c r="M336" s="8" t="str">
        <f>IF(Table2[[#This Row],[!Type]]=M$1, M$1,"rg:None")</f>
        <v>id</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8" t="str">
        <f>IF(LEN(Table2[[#This Row],[!Length]]) &gt; 0, Table2[[#This Row],[!Length]], "rg:None")</f>
        <v>rg:None</v>
      </c>
      <c r="U336" s="8" t="str">
        <f>IF(LEN(Table2[[#This Row],[!Name]]) &gt; 0, Table2[[#This Row],[!Name]], "rg:None")</f>
        <v>id</v>
      </c>
      <c r="V336" s="8" t="str">
        <f>IF(LEN(Table2[[#This Row],[!Description]]) &gt; 0, Table2[[#This Row],[!Description]], "rg:None")</f>
        <v>A system-generated unique identifier for a Group</v>
      </c>
      <c r="W336" s="8" t="str">
        <f>IF(LEN(Table2[[#This Row],[!FK]])&gt;0,Table2[[#This Row],[!FK]],"rg:None")</f>
        <v>rg:None</v>
      </c>
      <c r="X336" s="8" t="str">
        <f>IF(LEN(concatif2(A:A,Table2[[#This Row],[!Table]],G:G,"Y",D:D,",")) &gt; 0,"rg:[ { 'req' : '"&amp;concatif2(A:A,Table2[[#This Row],[!Table]],G:G,"Y",D:D,"' }, { 'req': '")&amp;"'} ]","rg:[]")</f>
        <v>rg:[ { 'req' : 'id' }, { 'req': 'name' }, { 'req': 'description'} ]</v>
      </c>
      <c r="Y336" s="8" t="str">
        <f>IF(LEN(Table2[[#This Row],[!Unique]])&gt;0,"rg:True","rg:None")</f>
        <v>rg:None</v>
      </c>
    </row>
    <row r="337" spans="1:25" x14ac:dyDescent="0.3">
      <c r="A337" s="5" t="s">
        <v>61</v>
      </c>
      <c r="B337" s="5" t="s">
        <v>7</v>
      </c>
      <c r="C337" s="5">
        <v>150</v>
      </c>
      <c r="D337" s="5" t="s">
        <v>15</v>
      </c>
      <c r="E337" s="54" t="s">
        <v>346</v>
      </c>
      <c r="F337" s="5" t="s">
        <v>5</v>
      </c>
      <c r="G337" s="4" t="s">
        <v>62</v>
      </c>
      <c r="H337" s="4"/>
      <c r="I337" s="5" t="str">
        <f t="shared" si="28"/>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name of the group, as refenced in the code.</v>
      </c>
      <c r="W337" s="8" t="str">
        <f>IF(LEN(Table2[[#This Row],[!FK]])&gt;0,Table2[[#This Row],[!FK]],"rg:None")</f>
        <v>rg:None</v>
      </c>
      <c r="X337" s="8" t="str">
        <f>IF(LEN(concatif2(A:A,Table2[[#This Row],[!Table]],G:G,"Y",D:D,",")) &gt; 0,"rg:[ { 'req' : '"&amp;concatif2(A:A,Table2[[#This Row],[!Table]],G:G,"Y",D:D,"' }, { 'req': '")&amp;"'} ]","rg:[]")</f>
        <v>rg:[ { 'req' : 'id' }, { 'req': 'name' }, { 'req': 'description'} ]</v>
      </c>
      <c r="Y337" s="8" t="str">
        <f>IF(LEN(Table2[[#This Row],[!Unique]])&gt;0,"rg:True","rg:None")</f>
        <v>rg:None</v>
      </c>
    </row>
    <row r="338" spans="1:25" ht="28.8" x14ac:dyDescent="0.3">
      <c r="A338" s="5" t="s">
        <v>61</v>
      </c>
      <c r="B338" s="5" t="s">
        <v>7</v>
      </c>
      <c r="C338" s="5">
        <v>2048</v>
      </c>
      <c r="D338" s="5" t="s">
        <v>14</v>
      </c>
      <c r="E338" s="54" t="s">
        <v>347</v>
      </c>
      <c r="F338" s="5" t="s">
        <v>5</v>
      </c>
      <c r="G338" s="4" t="s">
        <v>62</v>
      </c>
      <c r="H338" s="4"/>
      <c r="I338" s="5" t="str">
        <f t="shared" si="28"/>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group that is presented to the user when they are setting a user into a group.</v>
      </c>
      <c r="W338" s="8" t="str">
        <f>IF(LEN(Table2[[#This Row],[!FK]])&gt;0,Table2[[#This Row],[!FK]],"rg:None")</f>
        <v>rg:None</v>
      </c>
      <c r="X338" s="8" t="str">
        <f>IF(LEN(concatif2(A:A,Table2[[#This Row],[!Table]],G:G,"Y",D:D,",")) &gt; 0,"rg:[ { 'req' : '"&amp;concatif2(A:A,Table2[[#This Row],[!Table]],G:G,"Y",D:D,"' }, { 'req': '")&amp;"'} ]","rg:[]")</f>
        <v>rg:[ { 'req' : 'id' }, { 'req': 'name' }, { 'req': 'description'} ]</v>
      </c>
      <c r="Y338" s="8" t="str">
        <f>IF(LEN(Table2[[#This Row],[!Unique]])&gt;0,"rg:True","rg:None")</f>
        <v>rg:None</v>
      </c>
    </row>
    <row r="339" spans="1:25" x14ac:dyDescent="0.3">
      <c r="A339" s="140" t="s">
        <v>461</v>
      </c>
      <c r="B339" s="140"/>
      <c r="C339" s="140"/>
      <c r="D339" s="140"/>
      <c r="E339" s="141"/>
      <c r="F339" s="141"/>
      <c r="G339" s="140"/>
      <c r="H339" s="140"/>
      <c r="I339" s="8"/>
      <c r="J339" s="8"/>
      <c r="K339" s="8"/>
      <c r="L339" s="8"/>
      <c r="M339" s="8"/>
      <c r="N339" s="8"/>
      <c r="O339" s="8"/>
      <c r="P339" s="8"/>
      <c r="Q339" s="8"/>
      <c r="R339" s="8"/>
      <c r="S339" s="8"/>
      <c r="T339" s="8"/>
      <c r="U339" s="8"/>
      <c r="V339" s="8"/>
      <c r="W339" s="8"/>
      <c r="Y339" s="8">
        <f>SUBTOTAL(103,Table2[Unique])</f>
        <v>337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0"/>
  <sheetViews>
    <sheetView zoomScale="130" zoomScaleNormal="130" workbookViewId="0">
      <pane ySplit="1" topLeftCell="A14" activePane="bottomLeft" state="frozen"/>
      <selection pane="bottomLeft" activeCell="A11" sqref="A1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5"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ref="G4:G5" si="1">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1"/>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29" t="s">
        <v>75</v>
      </c>
      <c r="B6" s="142" t="s">
        <v>581</v>
      </c>
      <c r="C6" s="147" t="s">
        <v>570</v>
      </c>
      <c r="D6" s="44"/>
      <c r="E6" s="12"/>
      <c r="F6" s="13"/>
      <c r="G6" s="14"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districtEquipmentTypes</v>
      </c>
      <c r="Q6" s="4" t="str">
        <f>IF(LEN(Table23[[#This Row],[!tag]]) &gt;0,Table23[[#This Row],[!tag]],"rg:None")</f>
        <v>DistrictEquipmentType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42" t="s">
        <v>77</v>
      </c>
      <c r="B7" s="142" t="s">
        <v>581</v>
      </c>
      <c r="C7" s="147" t="s">
        <v>570</v>
      </c>
      <c r="D7" s="148" t="s">
        <v>570</v>
      </c>
      <c r="E7" s="12"/>
      <c r="F7" s="13"/>
      <c r="G7" s="14"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districtEquipmentTypes</v>
      </c>
      <c r="Q7" s="4" t="str">
        <f>IF(LEN(Table23[[#This Row],[!tag]]) &gt;0,Table23[[#This Row],[!tag]],"rg:None")</f>
        <v>DistrictEquipmentType</v>
      </c>
      <c r="R7" s="4" t="str">
        <f>IF(LEN(Table23[[#This Row],[!paramDef]]) &gt;0,Table23[[#This Row],[!paramDef]],"rg:None")</f>
        <v>DistrictEquipmentType</v>
      </c>
      <c r="S7" s="4" t="str">
        <f>IF(LEN(Table23[[#This Row],[!respDef]]) &gt;0,Table23[[#This Row],[!respDef]],"rg:None")</f>
        <v>rg:None</v>
      </c>
      <c r="T7" s="4" t="str">
        <f>IF(LEN(Table23[[#This Row],[!Description]]) &gt;0,Table23[[#This Row],[!Description]],"rg:None")</f>
        <v>rg:None</v>
      </c>
    </row>
    <row r="8" spans="1:20" s="20" customFormat="1" x14ac:dyDescent="0.3">
      <c r="A8" s="57" t="s">
        <v>75</v>
      </c>
      <c r="B8" s="57" t="s">
        <v>190</v>
      </c>
      <c r="C8" s="58" t="s">
        <v>183</v>
      </c>
      <c r="D8" s="59"/>
      <c r="E8" s="12"/>
      <c r="F8" s="13"/>
      <c r="G8" s="14"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equipmentAttachments</v>
      </c>
      <c r="Q8" s="4" t="str">
        <f>IF(LEN(Table23[[#This Row],[!tag]]) &gt;0,Table23[[#This Row],[!tag]],"rg:None")</f>
        <v>EquipmentAttachment</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57" t="s">
        <v>77</v>
      </c>
      <c r="B9" s="57" t="s">
        <v>190</v>
      </c>
      <c r="C9" s="149" t="s">
        <v>183</v>
      </c>
      <c r="D9" s="59" t="s">
        <v>183</v>
      </c>
      <c r="E9" s="12"/>
      <c r="F9" s="13"/>
      <c r="G9" s="14"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equipmentAttachments</v>
      </c>
      <c r="Q9" s="4" t="str">
        <f>IF(LEN(Table23[[#This Row],[!tag]]) &gt;0,Table23[[#This Row],[!tag]],"rg:None")</f>
        <v>EquipmentAttachment</v>
      </c>
      <c r="R9" s="4" t="str">
        <f>IF(LEN(Table23[[#This Row],[!paramDef]]) &gt;0,Table23[[#This Row],[!paramDef]],"rg:None")</f>
        <v>EquipmentAttachment</v>
      </c>
      <c r="S9" s="4" t="str">
        <f>IF(LEN(Table23[[#This Row],[!respDef]]) &gt;0,Table23[[#This Row],[!respDef]],"rg:None")</f>
        <v>rg:None</v>
      </c>
      <c r="T9" s="4" t="str">
        <f>IF(LEN(Table23[[#This Row],[!Description]]) &gt;0,Table23[[#This Row],[!Description]],"rg:None")</f>
        <v>rg:None</v>
      </c>
    </row>
    <row r="10" spans="1:20" s="20" customFormat="1" x14ac:dyDescent="0.3">
      <c r="A10" s="57" t="s">
        <v>75</v>
      </c>
      <c r="B10" s="150" t="s">
        <v>582</v>
      </c>
      <c r="C10" s="144" t="s">
        <v>575</v>
      </c>
      <c r="D10" s="59"/>
      <c r="E10" s="12"/>
      <c r="F10" s="13"/>
      <c r="G10" s="14" t="str">
        <f>IF(LEN(A10) &gt;0,"Path","-")</f>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localAreaRotationLists</v>
      </c>
      <c r="Q10" s="4" t="str">
        <f>IF(LEN(Table23[[#This Row],[!tag]]) &gt;0,Table23[[#This Row],[!tag]],"rg:None")</f>
        <v>LocalAreaRotationList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s="20" customFormat="1" x14ac:dyDescent="0.3">
      <c r="A11" s="57" t="s">
        <v>77</v>
      </c>
      <c r="B11" s="150" t="s">
        <v>582</v>
      </c>
      <c r="C11" s="144" t="s">
        <v>575</v>
      </c>
      <c r="D11" s="144" t="s">
        <v>575</v>
      </c>
      <c r="E11" s="12"/>
      <c r="F11" s="13"/>
      <c r="G11" s="14"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localAreaRotationLists</v>
      </c>
      <c r="Q11" s="4" t="str">
        <f>IF(LEN(Table23[[#This Row],[!tag]]) &gt;0,Table23[[#This Row],[!tag]],"rg:None")</f>
        <v>LocalAreaRotationList</v>
      </c>
      <c r="R11" s="4" t="str">
        <f>IF(LEN(Table23[[#This Row],[!paramDef]]) &gt;0,Table23[[#This Row],[!paramDef]],"rg:None")</f>
        <v>LocalAreaRotationList</v>
      </c>
      <c r="S11" s="4" t="str">
        <f>IF(LEN(Table23[[#This Row],[!respDef]]) &gt;0,Table23[[#This Row],[!respDef]],"rg:None")</f>
        <v>rg:None</v>
      </c>
      <c r="T11" s="4" t="str">
        <f>IF(LEN(Table23[[#This Row],[!Description]]) &gt;0,Table23[[#This Row],[!Description]],"rg:None")</f>
        <v>rg:None</v>
      </c>
    </row>
    <row r="12" spans="1:20" x14ac:dyDescent="0.3">
      <c r="A12" s="7" t="s">
        <v>75</v>
      </c>
      <c r="B12" s="29" t="s">
        <v>205</v>
      </c>
      <c r="C12" s="3" t="s">
        <v>145</v>
      </c>
      <c r="D12" s="44"/>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owners</v>
      </c>
      <c r="Q12" s="4" t="str">
        <f>IF(LEN(Table23[[#This Row],[!tag]]) &gt;0,Table23[[#This Row],[!tag]],"rg:None")</f>
        <v>Owner</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2" t="s">
        <v>77</v>
      </c>
      <c r="B13" s="42" t="s">
        <v>205</v>
      </c>
      <c r="C13" s="43" t="s">
        <v>145</v>
      </c>
      <c r="D13" s="44" t="s">
        <v>145</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owners</v>
      </c>
      <c r="Q13" s="4" t="str">
        <f>IF(LEN(Table23[[#This Row],[!tag]]) &gt;0,Table23[[#This Row],[!tag]],"rg:None")</f>
        <v>Owner</v>
      </c>
      <c r="R13" s="4" t="str">
        <f>IF(LEN(Table23[[#This Row],[!paramDef]]) &gt;0,Table23[[#This Row],[!paramDef]],"rg:None")</f>
        <v>Owner</v>
      </c>
      <c r="S13" s="4" t="str">
        <f>IF(LEN(Table23[[#This Row],[!respDef]]) &gt;0,Table23[[#This Row],[!respDef]],"rg:None")</f>
        <v>rg:None</v>
      </c>
      <c r="T13" s="4" t="str">
        <f>IF(LEN(Table23[[#This Row],[!Description]]) &gt;0,Table23[[#This Row],[!Description]],"rg:None")</f>
        <v>rg:None</v>
      </c>
    </row>
    <row r="14" spans="1:20" x14ac:dyDescent="0.3">
      <c r="A14" s="7" t="s">
        <v>75</v>
      </c>
      <c r="B14" s="29" t="s">
        <v>206</v>
      </c>
      <c r="C14" s="3" t="s">
        <v>136</v>
      </c>
      <c r="D14" s="44"/>
      <c r="E14" s="12"/>
      <c r="F14" s="13"/>
      <c r="G14" s="14" t="str">
        <f t="shared" si="0"/>
        <v>Path</v>
      </c>
      <c r="H14" s="4" t="str">
        <f>IF(LEN(Table23[[#This Row],[!type]])&gt;0,IF(Table23[[#This Row],[!type]]=H$1,"1","rg:None"),"-")</f>
        <v>1</v>
      </c>
      <c r="I14" s="4" t="str">
        <f>IF(LEN(Table23[[#This Row],[!type]])&gt;0,IF(Table23[[#This Row],[!type]]=I$1,"1","rg:None"),"-")</f>
        <v>rg:None</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projects</v>
      </c>
      <c r="Q14" s="4" t="str">
        <f>IF(LEN(Table23[[#This Row],[!tag]]) &gt;0,Table23[[#This Row],[!tag]],"rg:None")</f>
        <v>Project</v>
      </c>
      <c r="R14" s="4" t="str">
        <f>IF(LEN(Table23[[#This Row],[!paramDef]]) &gt;0,Table23[[#This Row],[!paramDef]],"rg:None")</f>
        <v>rg:None</v>
      </c>
      <c r="S14" s="4" t="str">
        <f>IF(LEN(Table23[[#This Row],[!respDef]]) &gt;0,Table23[[#This Row],[!respDef]],"rg:None")</f>
        <v>rg:None</v>
      </c>
      <c r="T14" s="4" t="str">
        <f>IF(LEN(Table23[[#This Row],[!Description]]) &gt;0,Table23[[#This Row],[!Description]],"rg:None")</f>
        <v>rg:None</v>
      </c>
    </row>
    <row r="15" spans="1:20" x14ac:dyDescent="0.3">
      <c r="A15" s="42" t="s">
        <v>77</v>
      </c>
      <c r="B15" s="42" t="s">
        <v>206</v>
      </c>
      <c r="C15" s="43" t="s">
        <v>136</v>
      </c>
      <c r="D15" s="44" t="s">
        <v>136</v>
      </c>
      <c r="E15" s="12"/>
      <c r="F15" s="13"/>
      <c r="G15" s="14" t="str">
        <f t="shared" si="0"/>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projects</v>
      </c>
      <c r="Q15" s="4" t="str">
        <f>IF(LEN(Table23[[#This Row],[!tag]]) &gt;0,Table23[[#This Row],[!tag]],"rg:None")</f>
        <v>Project</v>
      </c>
      <c r="R15" s="4" t="str">
        <f>IF(LEN(Table23[[#This Row],[!paramDef]]) &gt;0,Table23[[#This Row],[!paramDef]],"rg:None")</f>
        <v>Project</v>
      </c>
      <c r="S15" s="4" t="str">
        <f>IF(LEN(Table23[[#This Row],[!respDef]]) &gt;0,Table23[[#This Row],[!respDef]],"rg:None")</f>
        <v>rg:None</v>
      </c>
      <c r="T15" s="4" t="str">
        <f>IF(LEN(Table23[[#This Row],[!Description]]) &gt;0,Table23[[#This Row],[!Description]],"rg:None")</f>
        <v>rg:None</v>
      </c>
    </row>
    <row r="16" spans="1:20" x14ac:dyDescent="0.3">
      <c r="A16" s="7" t="s">
        <v>75</v>
      </c>
      <c r="B16" s="10" t="s">
        <v>95</v>
      </c>
      <c r="C16" s="3" t="s">
        <v>61</v>
      </c>
      <c r="D16" s="45"/>
      <c r="E16" s="3"/>
      <c r="F16" s="3"/>
      <c r="G16" s="8" t="str">
        <f t="shared" ref="G16:G26" si="2">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groups</v>
      </c>
      <c r="Q16" s="5" t="str">
        <f>IF(LEN(Table23[[#This Row],[!tag]]) &gt;0,Table23[[#This Row],[!tag]],"rg:None")</f>
        <v>Group</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2" t="s">
        <v>77</v>
      </c>
      <c r="B17" s="42" t="s">
        <v>95</v>
      </c>
      <c r="C17" s="43" t="s">
        <v>61</v>
      </c>
      <c r="D17" s="44" t="s">
        <v>61</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groups</v>
      </c>
      <c r="Q17" s="4" t="str">
        <f>IF(LEN(Table23[[#This Row],[!tag]]) &gt;0,Table23[[#This Row],[!tag]],"rg:None")</f>
        <v>Group</v>
      </c>
      <c r="R17" s="4" t="str">
        <f>IF(LEN(Table23[[#This Row],[!paramDef]]) &gt;0,Table23[[#This Row],[!paramDef]],"rg:None")</f>
        <v>Group</v>
      </c>
      <c r="S17" s="4" t="str">
        <f>IF(LEN(Table23[[#This Row],[!respDef]]) &gt;0,Table23[[#This Row],[!respDef]],"rg:None")</f>
        <v>rg:None</v>
      </c>
      <c r="T17" s="4" t="str">
        <f>IF(LEN(Table23[[#This Row],[!Description]]) &gt;0,Table23[[#This Row],[!Description]],"rg:None")</f>
        <v>rg:None</v>
      </c>
    </row>
    <row r="18" spans="1:20" x14ac:dyDescent="0.3">
      <c r="A18" s="7" t="s">
        <v>75</v>
      </c>
      <c r="B18" s="10" t="s">
        <v>96</v>
      </c>
      <c r="C18" s="3" t="s">
        <v>57</v>
      </c>
      <c r="D18" s="15" t="s">
        <v>106</v>
      </c>
      <c r="E18" s="3"/>
      <c r="F18" s="3"/>
      <c r="G18" s="8" t="str">
        <f t="shared" si="2"/>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permissions</v>
      </c>
      <c r="Q18" s="5" t="str">
        <f>IF(LEN(Table23[[#This Row],[!tag]]) &gt;0,Table23[[#This Row],[!tag]],"rg:None")</f>
        <v>Permission</v>
      </c>
      <c r="R18" s="5" t="str">
        <f>IF(LEN(Table23[[#This Row],[!paramDef]]) &gt;0,Table23[[#This Row],[!paramDef]],"rg:None")</f>
        <v>PermissionViewModel</v>
      </c>
      <c r="S18" s="5" t="str">
        <f>IF(LEN(Table23[[#This Row],[!respDef]]) &gt;0,Table23[[#This Row],[!respDef]],"rg:None")</f>
        <v>rg:None</v>
      </c>
      <c r="T18" s="5" t="str">
        <f>IF(LEN(Table23[[#This Row],[!Description]]) &gt;0,Table23[[#This Row],[!Description]],"rg:None")</f>
        <v>rg:None</v>
      </c>
    </row>
    <row r="19" spans="1:20" x14ac:dyDescent="0.3">
      <c r="A19" s="32" t="s">
        <v>77</v>
      </c>
      <c r="B19" s="32" t="s">
        <v>96</v>
      </c>
      <c r="C19" s="33" t="s">
        <v>57</v>
      </c>
      <c r="D19" s="34" t="s">
        <v>57</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permissions</v>
      </c>
      <c r="Q19" s="4" t="str">
        <f>IF(LEN(Table23[[#This Row],[!tag]]) &gt;0,Table23[[#This Row],[!tag]],"rg:None")</f>
        <v>Permission</v>
      </c>
      <c r="R19" s="4" t="str">
        <f>IF(LEN(Table23[[#This Row],[!paramDef]]) &gt;0,Table23[[#This Row],[!paramDef]],"rg:None")</f>
        <v>Permission</v>
      </c>
      <c r="S19" s="4" t="str">
        <f>IF(LEN(Table23[[#This Row],[!respDef]]) &gt;0,Table23[[#This Row],[!respDef]],"rg:None")</f>
        <v>rg:None</v>
      </c>
      <c r="T19" s="4" t="str">
        <f>IF(LEN(Table23[[#This Row],[!Description]]) &gt;0,Table23[[#This Row],[!Description]],"rg:None")</f>
        <v>rg:None</v>
      </c>
    </row>
    <row r="20" spans="1:20" x14ac:dyDescent="0.3">
      <c r="A20" s="7" t="s">
        <v>75</v>
      </c>
      <c r="B20" s="10" t="s">
        <v>97</v>
      </c>
      <c r="C20" s="3" t="s">
        <v>53</v>
      </c>
      <c r="D20" s="87" t="s">
        <v>462</v>
      </c>
      <c r="E20" s="3"/>
      <c r="F20" s="3"/>
      <c r="G20" s="8" t="str">
        <f t="shared" si="2"/>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roles</v>
      </c>
      <c r="Q20" s="5" t="str">
        <f>IF(LEN(Table23[[#This Row],[!tag]]) &gt;0,Table23[[#This Row],[!tag]],"rg:None")</f>
        <v>Role</v>
      </c>
      <c r="R20" s="5" t="str">
        <f>IF(LEN(Table23[[#This Row],[!paramDef]]) &gt;0,Table23[[#This Row],[!paramDef]],"rg:None")</f>
        <v>RoleViewModel</v>
      </c>
      <c r="S20" s="5" t="str">
        <f>IF(LEN(Table23[[#This Row],[!respDef]]) &gt;0,Table23[[#This Row],[!respDef]],"rg:None")</f>
        <v>rg:None</v>
      </c>
      <c r="T20" s="5" t="str">
        <f>IF(LEN(Table23[[#This Row],[!Description]]) &gt;0,Table23[[#This Row],[!Description]],"rg:None")</f>
        <v>rg:None</v>
      </c>
    </row>
    <row r="21" spans="1:20" x14ac:dyDescent="0.3">
      <c r="A21" s="32" t="s">
        <v>77</v>
      </c>
      <c r="B21" s="32" t="s">
        <v>97</v>
      </c>
      <c r="C21" s="33" t="s">
        <v>53</v>
      </c>
      <c r="D21" s="86" t="s">
        <v>53</v>
      </c>
      <c r="E21" s="12"/>
      <c r="F21" s="13"/>
      <c r="G21" s="14"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roles</v>
      </c>
      <c r="Q21" s="4" t="str">
        <f>IF(LEN(Table23[[#This Row],[!tag]]) &gt;0,Table23[[#This Row],[!tag]],"rg:None")</f>
        <v>Role</v>
      </c>
      <c r="R21" s="4" t="str">
        <f>IF(LEN(Table23[[#This Row],[!paramDef]]) &gt;0,Table23[[#This Row],[!paramDef]],"rg:None")</f>
        <v>Role</v>
      </c>
      <c r="S21" s="4" t="str">
        <f>IF(LEN(Table23[[#This Row],[!respDef]]) &gt;0,Table23[[#This Row],[!respDef]],"rg:None")</f>
        <v>rg:None</v>
      </c>
      <c r="T21" s="4" t="str">
        <f>IF(LEN(Table23[[#This Row],[!Description]]) &gt;0,Table23[[#This Row],[!Description]],"rg:None")</f>
        <v>rg:None</v>
      </c>
    </row>
    <row r="22" spans="1:20" x14ac:dyDescent="0.3">
      <c r="A22" s="10" t="s">
        <v>77</v>
      </c>
      <c r="B22" s="10" t="s">
        <v>104</v>
      </c>
      <c r="C22" s="15" t="s">
        <v>53</v>
      </c>
      <c r="D22" s="15" t="s">
        <v>55</v>
      </c>
      <c r="E22" s="3"/>
      <c r="F22" s="3"/>
      <c r="G22" s="8" t="str">
        <f t="shared" si="2"/>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rolepermissions</v>
      </c>
      <c r="Q22" s="5" t="str">
        <f>IF(LEN(Table23[[#This Row],[!tag]]) &gt;0,Table23[[#This Row],[!tag]],"rg:None")</f>
        <v>Role</v>
      </c>
      <c r="R22" s="5" t="str">
        <f>IF(LEN(Table23[[#This Row],[!paramDef]]) &gt;0,Table23[[#This Row],[!paramDef]],"rg:None")</f>
        <v>RolePermission</v>
      </c>
      <c r="S22" s="5" t="str">
        <f>IF(LEN(Table23[[#This Row],[!respDef]]) &gt;0,Table23[[#This Row],[!respDef]],"rg:None")</f>
        <v>rg:None</v>
      </c>
      <c r="T22" s="5" t="str">
        <f>IF(LEN(Table23[[#This Row],[!Description]]) &gt;0,Table23[[#This Row],[!Description]],"rg:None")</f>
        <v>rg:None</v>
      </c>
    </row>
    <row r="23" spans="1:20" x14ac:dyDescent="0.3">
      <c r="A23" s="7" t="s">
        <v>75</v>
      </c>
      <c r="B23" s="10" t="s">
        <v>98</v>
      </c>
      <c r="C23" s="3" t="s">
        <v>0</v>
      </c>
      <c r="D23" s="15" t="s">
        <v>107</v>
      </c>
      <c r="E23" s="3"/>
      <c r="F23" s="3"/>
      <c r="G23" s="8" t="str">
        <f t="shared" si="2"/>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users</v>
      </c>
      <c r="Q23" s="5" t="str">
        <f>IF(LEN(Table23[[#This Row],[!tag]]) &gt;0,Table23[[#This Row],[!tag]],"rg:None")</f>
        <v>User</v>
      </c>
      <c r="R23" s="5" t="str">
        <f>IF(LEN(Table23[[#This Row],[!paramDef]]) &gt;0,Table23[[#This Row],[!paramDef]],"rg:None")</f>
        <v>UserViewModel</v>
      </c>
      <c r="S23" s="5" t="str">
        <f>IF(LEN(Table23[[#This Row],[!respDef]]) &gt;0,Table23[[#This Row],[!respDef]],"rg:None")</f>
        <v>rg:None</v>
      </c>
      <c r="T23" s="5" t="str">
        <f>IF(LEN(Table23[[#This Row],[!Description]]) &gt;0,Table23[[#This Row],[!Description]],"rg:None")</f>
        <v>rg:None</v>
      </c>
    </row>
    <row r="24" spans="1:20" x14ac:dyDescent="0.3">
      <c r="A24" s="32" t="s">
        <v>77</v>
      </c>
      <c r="B24" s="32" t="s">
        <v>98</v>
      </c>
      <c r="C24" s="33" t="s">
        <v>0</v>
      </c>
      <c r="D24" s="34" t="s">
        <v>0</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users</v>
      </c>
      <c r="Q24" s="4" t="str">
        <f>IF(LEN(Table23[[#This Row],[!tag]]) &gt;0,Table23[[#This Row],[!tag]],"rg:None")</f>
        <v>User</v>
      </c>
      <c r="R24" s="4" t="str">
        <f>IF(LEN(Table23[[#This Row],[!paramDef]]) &gt;0,Table23[[#This Row],[!paramDef]],"rg:None")</f>
        <v>User</v>
      </c>
      <c r="S24" s="4" t="str">
        <f>IF(LEN(Table23[[#This Row],[!respDef]]) &gt;0,Table23[[#This Row],[!respDef]],"rg:None")</f>
        <v>rg:None</v>
      </c>
      <c r="T24" s="4" t="str">
        <f>IF(LEN(Table23[[#This Row],[!Description]]) &gt;0,Table23[[#This Row],[!Description]],"rg:None")</f>
        <v>rg:None</v>
      </c>
    </row>
    <row r="25" spans="1:20" x14ac:dyDescent="0.3">
      <c r="A25" s="11" t="s">
        <v>77</v>
      </c>
      <c r="B25" s="11" t="s">
        <v>105</v>
      </c>
      <c r="C25" s="16" t="s">
        <v>0</v>
      </c>
      <c r="D25" s="15" t="s">
        <v>59</v>
      </c>
      <c r="E25" s="12"/>
      <c r="F25" s="13"/>
      <c r="G25" s="14" t="str">
        <f t="shared" si="2"/>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usergroups</v>
      </c>
      <c r="Q25" s="4" t="str">
        <f>IF(LEN(Table23[[#This Row],[!tag]]) &gt;0,Table23[[#This Row],[!tag]],"rg:None")</f>
        <v>User</v>
      </c>
      <c r="R25" s="4" t="str">
        <f>IF(LEN(Table23[[#This Row],[!paramDef]]) &gt;0,Table23[[#This Row],[!paramDef]],"rg:None")</f>
        <v>GroupMembership</v>
      </c>
      <c r="S25" s="4" t="str">
        <f>IF(LEN(Table23[[#This Row],[!respDef]]) &gt;0,Table23[[#This Row],[!respDef]],"rg:None")</f>
        <v>rg:None</v>
      </c>
      <c r="T25" s="4" t="str">
        <f>IF(LEN(Table23[[#This Row],[!Description]]) &gt;0,Table23[[#This Row],[!Description]],"rg:None")</f>
        <v>rg:None</v>
      </c>
    </row>
    <row r="26" spans="1:20" x14ac:dyDescent="0.3">
      <c r="A26" s="10" t="s">
        <v>77</v>
      </c>
      <c r="B26" s="10" t="s">
        <v>99</v>
      </c>
      <c r="C26" s="15" t="s">
        <v>0</v>
      </c>
      <c r="D26" s="15" t="s">
        <v>50</v>
      </c>
      <c r="E26" s="3"/>
      <c r="F26" s="3"/>
      <c r="G26" s="8" t="str">
        <f t="shared" si="2"/>
        <v>Path</v>
      </c>
      <c r="H26" s="5" t="str">
        <f>IF(LEN(Table23[[#This Row],[!type]])&gt;0,IF(Table23[[#This Row],[!type]]=H$1,"1","rg:None"),"-")</f>
        <v>rg:None</v>
      </c>
      <c r="I26" s="5" t="str">
        <f>IF(LEN(Table23[[#This Row],[!type]])&gt;0,IF(Table23[[#This Row],[!type]]=I$1,"1","rg:None"),"-")</f>
        <v>rg:None</v>
      </c>
      <c r="J26" s="5" t="str">
        <f>IF(LEN(Table23[[#This Row],[!type]])&gt;0,IF(Table23[[#This Row],[!type]]=J$1,"1","rg:None"),"-")</f>
        <v>1</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userroles</v>
      </c>
      <c r="Q26" s="5" t="str">
        <f>IF(LEN(Table23[[#This Row],[!tag]]) &gt;0,Table23[[#This Row],[!tag]],"rg:None")</f>
        <v>User</v>
      </c>
      <c r="R26" s="5" t="str">
        <f>IF(LEN(Table23[[#This Row],[!paramDef]]) &gt;0,Table23[[#This Row],[!paramDef]],"rg:None")</f>
        <v>UserRole</v>
      </c>
      <c r="S26" s="5" t="str">
        <f>IF(LEN(Table23[[#This Row],[!respDef]]) &gt;0,Table23[[#This Row],[!respDef]],"rg:None")</f>
        <v>rg:None</v>
      </c>
      <c r="T26" s="5" t="str">
        <f>IF(LEN(Table23[[#This Row],[!Description]]) &gt;0,Table23[[#This Row],[!Description]],"rg:None")</f>
        <v>rg:None</v>
      </c>
    </row>
    <row r="27" spans="1:20" x14ac:dyDescent="0.3">
      <c r="A27" s="7" t="s">
        <v>75</v>
      </c>
      <c r="B27" s="10" t="s">
        <v>100</v>
      </c>
      <c r="C27" s="3" t="s">
        <v>28</v>
      </c>
      <c r="D27" s="45"/>
      <c r="E27" s="3"/>
      <c r="F27" s="3"/>
      <c r="G27" s="8" t="str">
        <f t="shared" ref="G27:G44" si="3">IF(LEN(A27) &gt;0,"Path","-")</f>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regions</v>
      </c>
      <c r="Q27" s="5" t="str">
        <f>IF(LEN(Table23[[#This Row],[!tag]]) &gt;0,Table23[[#This Row],[!tag]],"rg:None")</f>
        <v>Region</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100</v>
      </c>
      <c r="C28" s="43" t="s">
        <v>28</v>
      </c>
      <c r="D28" s="44" t="s">
        <v>28</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regions</v>
      </c>
      <c r="Q28" s="4" t="str">
        <f>IF(LEN(Table23[[#This Row],[!tag]]) &gt;0,Table23[[#This Row],[!tag]],"rg:None")</f>
        <v>Region</v>
      </c>
      <c r="R28" s="4" t="str">
        <f>IF(LEN(Table23[[#This Row],[!paramDef]]) &gt;0,Table23[[#This Row],[!paramDef]],"rg:None")</f>
        <v>Region</v>
      </c>
      <c r="S28" s="4" t="str">
        <f>IF(LEN(Table23[[#This Row],[!respDef]]) &gt;0,Table23[[#This Row],[!respDef]],"rg:None")</f>
        <v>rg:None</v>
      </c>
      <c r="T28" s="4" t="str">
        <f>IF(LEN(Table23[[#This Row],[!Description]]) &gt;0,Table23[[#This Row],[!Description]],"rg:None")</f>
        <v>rg:None</v>
      </c>
    </row>
    <row r="29" spans="1:20" x14ac:dyDescent="0.3">
      <c r="A29" s="7" t="s">
        <v>75</v>
      </c>
      <c r="B29" s="10" t="s">
        <v>101</v>
      </c>
      <c r="C29" s="3" t="s">
        <v>32</v>
      </c>
      <c r="D29" s="45"/>
      <c r="E29" s="3"/>
      <c r="F29" s="3"/>
      <c r="G29" s="8" t="str">
        <f t="shared" si="3"/>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districts</v>
      </c>
      <c r="Q29" s="5" t="str">
        <f>IF(LEN(Table23[[#This Row],[!tag]]) &gt;0,Table23[[#This Row],[!tag]],"rg:None")</f>
        <v>District</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101</v>
      </c>
      <c r="C30" s="43" t="s">
        <v>32</v>
      </c>
      <c r="D30" s="44" t="s">
        <v>32</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districts</v>
      </c>
      <c r="Q30" s="4" t="str">
        <f>IF(LEN(Table23[[#This Row],[!tag]]) &gt;0,Table23[[#This Row],[!tag]],"rg:None")</f>
        <v>District</v>
      </c>
      <c r="R30" s="4" t="str">
        <f>IF(LEN(Table23[[#This Row],[!paramDef]]) &gt;0,Table23[[#This Row],[!paramDef]],"rg:None")</f>
        <v>District</v>
      </c>
      <c r="S30" s="4" t="str">
        <f>IF(LEN(Table23[[#This Row],[!respDef]]) &gt;0,Table23[[#This Row],[!respDef]],"rg:None")</f>
        <v>rg:None</v>
      </c>
      <c r="T30" s="4" t="str">
        <f>IF(LEN(Table23[[#This Row],[!Description]]) &gt;0,Table23[[#This Row],[!Description]],"rg:None")</f>
        <v>rg:None</v>
      </c>
    </row>
    <row r="31" spans="1:20" x14ac:dyDescent="0.3">
      <c r="A31" s="7" t="s">
        <v>75</v>
      </c>
      <c r="B31" s="10" t="s">
        <v>102</v>
      </c>
      <c r="C31" s="3" t="s">
        <v>10</v>
      </c>
      <c r="D31" s="45"/>
      <c r="E31" s="3"/>
      <c r="F31" s="3"/>
      <c r="G31" s="8" t="str">
        <f t="shared" si="3"/>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serviceareas</v>
      </c>
      <c r="Q31" s="5" t="str">
        <f>IF(LEN(Table23[[#This Row],[!tag]]) &gt;0,Table23[[#This Row],[!tag]],"rg:None")</f>
        <v>ServiceArea</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2" t="s">
        <v>77</v>
      </c>
      <c r="B32" s="42" t="s">
        <v>102</v>
      </c>
      <c r="C32" s="43" t="s">
        <v>10</v>
      </c>
      <c r="D32" s="44" t="s">
        <v>10</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serviceareas</v>
      </c>
      <c r="Q32" s="4" t="str">
        <f>IF(LEN(Table23[[#This Row],[!tag]]) &gt;0,Table23[[#This Row],[!tag]],"rg:None")</f>
        <v>ServiceArea</v>
      </c>
      <c r="R32" s="4" t="str">
        <f>IF(LEN(Table23[[#This Row],[!paramDef]]) &gt;0,Table23[[#This Row],[!paramDef]],"rg:None")</f>
        <v>ServiceArea</v>
      </c>
      <c r="S32" s="4" t="str">
        <f>IF(LEN(Table23[[#This Row],[!respDef]]) &gt;0,Table23[[#This Row],[!respDef]],"rg:None")</f>
        <v>rg:None</v>
      </c>
      <c r="T32" s="4" t="str">
        <f>IF(LEN(Table23[[#This Row],[!Description]]) &gt;0,Table23[[#This Row],[!Description]],"rg:None")</f>
        <v>rg:None</v>
      </c>
    </row>
    <row r="33" spans="1:20" x14ac:dyDescent="0.3">
      <c r="A33" s="7" t="s">
        <v>75</v>
      </c>
      <c r="B33" s="10" t="s">
        <v>103</v>
      </c>
      <c r="C33" s="3" t="s">
        <v>11</v>
      </c>
      <c r="D33" s="45"/>
      <c r="E33" s="3"/>
      <c r="F33" s="3"/>
      <c r="G33" s="8" t="str">
        <f t="shared" si="3"/>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cities</v>
      </c>
      <c r="Q33" s="5" t="str">
        <f>IF(LEN(Table23[[#This Row],[!tag]]) &gt;0,Table23[[#This Row],[!tag]],"rg:None")</f>
        <v>City</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2" t="s">
        <v>77</v>
      </c>
      <c r="B34" s="42" t="s">
        <v>103</v>
      </c>
      <c r="C34" s="43" t="s">
        <v>11</v>
      </c>
      <c r="D34" s="44" t="s">
        <v>11</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cities</v>
      </c>
      <c r="Q34" s="4" t="str">
        <f>IF(LEN(Table23[[#This Row],[!tag]]) &gt;0,Table23[[#This Row],[!tag]],"rg:None")</f>
        <v>City</v>
      </c>
      <c r="R34" s="4" t="str">
        <f>IF(LEN(Table23[[#This Row],[!paramDef]]) &gt;0,Table23[[#This Row],[!paramDef]],"rg:None")</f>
        <v>City</v>
      </c>
      <c r="S34" s="4" t="str">
        <f>IF(LEN(Table23[[#This Row],[!respDef]]) &gt;0,Table23[[#This Row],[!respDef]],"rg:None")</f>
        <v>rg:None</v>
      </c>
      <c r="T34" s="4" t="str">
        <f>IF(LEN(Table23[[#This Row],[!Description]]) &gt;0,Table23[[#This Row],[!Description]],"rg:None")</f>
        <v>rg:None</v>
      </c>
    </row>
    <row r="35" spans="1:20" x14ac:dyDescent="0.3">
      <c r="A35" s="29" t="s">
        <v>75</v>
      </c>
      <c r="B35" s="29" t="s">
        <v>208</v>
      </c>
      <c r="C35" s="30" t="s">
        <v>151</v>
      </c>
      <c r="D35" s="44"/>
      <c r="E35" s="12"/>
      <c r="F35" s="13"/>
      <c r="G35" s="14" t="str">
        <f t="shared" si="3"/>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localAreas</v>
      </c>
      <c r="Q35" s="4" t="str">
        <f>IF(LEN(Table23[[#This Row],[!tag]]) &gt;0,Table23[[#This Row],[!tag]],"rg:None")</f>
        <v>LocalArea</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2" t="s">
        <v>77</v>
      </c>
      <c r="B36" s="42" t="s">
        <v>208</v>
      </c>
      <c r="C36" s="43" t="s">
        <v>151</v>
      </c>
      <c r="D36" s="44" t="s">
        <v>151</v>
      </c>
      <c r="E36" s="12"/>
      <c r="F36" s="13"/>
      <c r="G36" s="14"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localAreas</v>
      </c>
      <c r="Q36" s="4" t="str">
        <f>IF(LEN(Table23[[#This Row],[!tag]]) &gt;0,Table23[[#This Row],[!tag]],"rg:None")</f>
        <v>LocalArea</v>
      </c>
      <c r="R36" s="4" t="str">
        <f>IF(LEN(Table23[[#This Row],[!paramDef]]) &gt;0,Table23[[#This Row],[!paramDef]],"rg:None")</f>
        <v>LocalArea</v>
      </c>
      <c r="S36" s="4" t="str">
        <f>IF(LEN(Table23[[#This Row],[!respDef]]) &gt;0,Table23[[#This Row],[!respDef]],"rg:None")</f>
        <v>rg:None</v>
      </c>
      <c r="T36" s="4" t="str">
        <f>IF(LEN(Table23[[#This Row],[!Description]]) &gt;0,Table23[[#This Row],[!Description]],"rg:None")</f>
        <v>rg:None</v>
      </c>
    </row>
    <row r="37" spans="1:20" x14ac:dyDescent="0.3">
      <c r="A37" s="35" t="s">
        <v>75</v>
      </c>
      <c r="B37" s="35" t="s">
        <v>176</v>
      </c>
      <c r="C37" s="17" t="s">
        <v>172</v>
      </c>
      <c r="D37" s="36"/>
      <c r="E37" s="12"/>
      <c r="F37" s="13"/>
      <c r="G37" s="14" t="str">
        <f t="shared" si="3"/>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contacts</v>
      </c>
      <c r="Q37" s="4" t="str">
        <f>IF(LEN(Table23[[#This Row],[!tag]]) &gt;0,Table23[[#This Row],[!tag]],"rg:None")</f>
        <v>Contact</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176</v>
      </c>
      <c r="C38" s="17" t="s">
        <v>172</v>
      </c>
      <c r="D38" s="36" t="s">
        <v>172</v>
      </c>
      <c r="E38" s="12"/>
      <c r="F38" s="13"/>
      <c r="G38" s="14" t="str">
        <f t="shared" si="3"/>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contacts</v>
      </c>
      <c r="Q38" s="4" t="str">
        <f>IF(LEN(Table23[[#This Row],[!tag]]) &gt;0,Table23[[#This Row],[!tag]],"rg:None")</f>
        <v>Contact</v>
      </c>
      <c r="R38" s="4" t="str">
        <f>IF(LEN(Table23[[#This Row],[!paramDef]]) &gt;0,Table23[[#This Row],[!paramDef]],"rg:None")</f>
        <v>Contact</v>
      </c>
      <c r="S38" s="4" t="str">
        <f>IF(LEN(Table23[[#This Row],[!respDef]]) &gt;0,Table23[[#This Row],[!respDef]],"rg:None")</f>
        <v>rg:None</v>
      </c>
      <c r="T38" s="4" t="str">
        <f>IF(LEN(Table23[[#This Row],[!Description]]) &gt;0,Table23[[#This Row],[!Description]],"rg:None")</f>
        <v>rg:None</v>
      </c>
    </row>
    <row r="39" spans="1:20" x14ac:dyDescent="0.3">
      <c r="A39" s="35" t="s">
        <v>75</v>
      </c>
      <c r="B39" s="35" t="s">
        <v>213</v>
      </c>
      <c r="C39" s="37" t="s">
        <v>109</v>
      </c>
      <c r="D39" s="36"/>
      <c r="E39" s="12"/>
      <c r="F39" s="13"/>
      <c r="G39" s="14" t="str">
        <f t="shared" si="3"/>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dumptrucks</v>
      </c>
      <c r="Q39" s="4" t="str">
        <f>IF(LEN(Table23[[#This Row],[!tag]]) &gt;0,Table23[[#This Row],[!tag]],"rg:None")</f>
        <v>DumpTruck</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213</v>
      </c>
      <c r="C40" s="37" t="s">
        <v>109</v>
      </c>
      <c r="D40" s="36" t="s">
        <v>109</v>
      </c>
      <c r="E40" s="12"/>
      <c r="F40" s="13"/>
      <c r="G40" s="14" t="str">
        <f t="shared" si="3"/>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dumptrucks</v>
      </c>
      <c r="Q40" s="4" t="str">
        <f>IF(LEN(Table23[[#This Row],[!tag]]) &gt;0,Table23[[#This Row],[!tag]],"rg:None")</f>
        <v>DumpTruck</v>
      </c>
      <c r="R40" s="4" t="str">
        <f>IF(LEN(Table23[[#This Row],[!paramDef]]) &gt;0,Table23[[#This Row],[!paramDef]],"rg:None")</f>
        <v>DumpTruck</v>
      </c>
      <c r="S40" s="4" t="str">
        <f>IF(LEN(Table23[[#This Row],[!respDef]]) &gt;0,Table23[[#This Row],[!respDef]],"rg:None")</f>
        <v>rg:None</v>
      </c>
      <c r="T40" s="4" t="str">
        <f>IF(LEN(Table23[[#This Row],[!Description]]) &gt;0,Table23[[#This Row],[!Description]],"rg:None")</f>
        <v>rg:None</v>
      </c>
    </row>
    <row r="41" spans="1:20" x14ac:dyDescent="0.3">
      <c r="A41" s="35" t="s">
        <v>75</v>
      </c>
      <c r="B41" s="35" t="s">
        <v>164</v>
      </c>
      <c r="C41" s="37" t="s">
        <v>146</v>
      </c>
      <c r="D41" s="36"/>
      <c r="E41" s="12"/>
      <c r="F41" s="13"/>
      <c r="G41" s="14" t="str">
        <f t="shared" si="3"/>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notes</v>
      </c>
      <c r="Q41" s="4" t="str">
        <f>IF(LEN(Table23[[#This Row],[!tag]]) &gt;0,Table23[[#This Row],[!tag]],"rg:None")</f>
        <v>Note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164</v>
      </c>
      <c r="C42" s="37" t="s">
        <v>146</v>
      </c>
      <c r="D42" s="36" t="s">
        <v>146</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notes</v>
      </c>
      <c r="Q42" s="4" t="str">
        <f>IF(LEN(Table23[[#This Row],[!tag]]) &gt;0,Table23[[#This Row],[!tag]],"rg:None")</f>
        <v>Note</v>
      </c>
      <c r="R42" s="4" t="str">
        <f>IF(LEN(Table23[[#This Row],[!paramDef]]) &gt;0,Table23[[#This Row],[!paramDef]],"rg:None")</f>
        <v>Note</v>
      </c>
      <c r="S42" s="4" t="str">
        <f>IF(LEN(Table23[[#This Row],[!respDef]]) &gt;0,Table23[[#This Row],[!respDef]],"rg:None")</f>
        <v>rg:None</v>
      </c>
      <c r="T42" s="4" t="str">
        <f>IF(LEN(Table23[[#This Row],[!Description]]) &gt;0,Table23[[#This Row],[!Description]],"rg:None")</f>
        <v>rg:None</v>
      </c>
    </row>
    <row r="43" spans="1:20" x14ac:dyDescent="0.3">
      <c r="A43" s="35" t="s">
        <v>75</v>
      </c>
      <c r="B43" s="35" t="s">
        <v>214</v>
      </c>
      <c r="C43" s="37" t="s">
        <v>158</v>
      </c>
      <c r="D43" s="36"/>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attachment</v>
      </c>
      <c r="Q43" s="4" t="str">
        <f>IF(LEN(Table23[[#This Row],[!tag]]) &gt;0,Table23[[#This Row],[!tag]],"rg:None")</f>
        <v>Attachment</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214</v>
      </c>
      <c r="C44" s="37" t="s">
        <v>158</v>
      </c>
      <c r="D44" s="36" t="s">
        <v>158</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attachment</v>
      </c>
      <c r="Q44" s="4" t="str">
        <f>IF(LEN(Table23[[#This Row],[!tag]]) &gt;0,Table23[[#This Row],[!tag]],"rg:None")</f>
        <v>Attachment</v>
      </c>
      <c r="R44" s="4" t="str">
        <f>IF(LEN(Table23[[#This Row],[!paramDef]]) &gt;0,Table23[[#This Row],[!paramDef]],"rg:None")</f>
        <v>Attachment</v>
      </c>
      <c r="S44" s="4" t="str">
        <f>IF(LEN(Table23[[#This Row],[!respDef]]) &gt;0,Table23[[#This Row],[!respDef]],"rg:None")</f>
        <v>rg:None</v>
      </c>
      <c r="T44" s="4" t="str">
        <f>IF(LEN(Table23[[#This Row],[!Description]]) &gt;0,Table23[[#This Row],[!Description]],"rg:None")</f>
        <v>rg:None</v>
      </c>
    </row>
    <row r="45" spans="1:20" x14ac:dyDescent="0.3">
      <c r="A45" s="35" t="s">
        <v>75</v>
      </c>
      <c r="B45" s="35" t="s">
        <v>505</v>
      </c>
      <c r="C45" t="s">
        <v>59</v>
      </c>
      <c r="D45" s="36"/>
      <c r="E45" s="12"/>
      <c r="F45" s="13"/>
      <c r="G45" s="14" t="str">
        <f t="shared" ref="G45:G70" si="4">IF(LEN(A45) &gt;0,"Path","-")</f>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groupmemberships</v>
      </c>
      <c r="Q45" s="4" t="str">
        <f>IF(LEN(Table23[[#This Row],[!tag]]) &gt;0,Table23[[#This Row],[!tag]],"rg:None")</f>
        <v>GroupMembership</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505</v>
      </c>
      <c r="C46" t="s">
        <v>59</v>
      </c>
      <c r="D46" s="36" t="s">
        <v>59</v>
      </c>
      <c r="E46" s="12"/>
      <c r="F46" s="13"/>
      <c r="G46" s="14" t="str">
        <f t="shared" si="4"/>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groupmemberships</v>
      </c>
      <c r="Q46" s="4" t="str">
        <f>IF(LEN(Table23[[#This Row],[!tag]]) &gt;0,Table23[[#This Row],[!tag]],"rg:None")</f>
        <v>GroupMembership</v>
      </c>
      <c r="R46" s="4" t="str">
        <f>IF(LEN(Table23[[#This Row],[!paramDef]]) &gt;0,Table23[[#This Row],[!paramDef]],"rg:None")</f>
        <v>GroupMembership</v>
      </c>
      <c r="S46" s="4" t="str">
        <f>IF(LEN(Table23[[#This Row],[!respDef]]) &gt;0,Table23[[#This Row],[!respDef]],"rg:None")</f>
        <v>rg:None</v>
      </c>
      <c r="T46" s="4" t="str">
        <f>IF(LEN(Table23[[#This Row],[!Description]]) &gt;0,Table23[[#This Row],[!Description]],"rg:None")</f>
        <v>rg:None</v>
      </c>
    </row>
    <row r="47" spans="1:20" x14ac:dyDescent="0.3">
      <c r="A47" s="35" t="s">
        <v>75</v>
      </c>
      <c r="B47" s="116" t="s">
        <v>515</v>
      </c>
      <c r="C47" t="s">
        <v>160</v>
      </c>
      <c r="D47" s="36" t="s">
        <v>5</v>
      </c>
      <c r="E47" s="12"/>
      <c r="F47" s="13"/>
      <c r="G47" s="14" t="str">
        <f t="shared" si="4"/>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histories</v>
      </c>
      <c r="Q47" s="4" t="str">
        <f>IF(LEN(Table23[[#This Row],[!tag]]) &gt;0,Table23[[#This Row],[!tag]],"rg:None")</f>
        <v>History</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116" t="s">
        <v>515</v>
      </c>
      <c r="C48" t="s">
        <v>160</v>
      </c>
      <c r="D48" s="36" t="s">
        <v>160</v>
      </c>
      <c r="E48" s="12"/>
      <c r="F48" s="13"/>
      <c r="G48" s="14" t="str">
        <f t="shared" si="4"/>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histories</v>
      </c>
      <c r="Q48" s="4" t="str">
        <f>IF(LEN(Table23[[#This Row],[!tag]]) &gt;0,Table23[[#This Row],[!tag]],"rg:None")</f>
        <v>History</v>
      </c>
      <c r="R48" s="4" t="str">
        <f>IF(LEN(Table23[[#This Row],[!paramDef]]) &gt;0,Table23[[#This Row],[!paramDef]],"rg:None")</f>
        <v>History</v>
      </c>
      <c r="S48" s="4" t="str">
        <f>IF(LEN(Table23[[#This Row],[!respDef]]) &gt;0,Table23[[#This Row],[!respDef]],"rg:None")</f>
        <v>rg:None</v>
      </c>
      <c r="T48" s="4" t="str">
        <f>IF(LEN(Table23[[#This Row],[!Description]]) &gt;0,Table23[[#This Row],[!Description]],"rg:None")</f>
        <v>rg:None</v>
      </c>
    </row>
    <row r="49" spans="1:20" x14ac:dyDescent="0.3">
      <c r="A49" s="35" t="s">
        <v>75</v>
      </c>
      <c r="B49" s="35" t="s">
        <v>506</v>
      </c>
      <c r="C49" t="s">
        <v>199</v>
      </c>
      <c r="D49" s="36" t="s">
        <v>5</v>
      </c>
      <c r="E49" s="12"/>
      <c r="F49" s="13"/>
      <c r="G49" s="14" t="str">
        <f t="shared" si="4"/>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rentalagreements</v>
      </c>
      <c r="Q49" s="4" t="str">
        <f>IF(LEN(Table23[[#This Row],[!tag]]) &gt;0,Table23[[#This Row],[!tag]],"rg:None")</f>
        <v>RentalAgreement</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506</v>
      </c>
      <c r="C50" t="s">
        <v>199</v>
      </c>
      <c r="D50" s="36" t="s">
        <v>199</v>
      </c>
      <c r="E50" s="12"/>
      <c r="F50" s="13"/>
      <c r="G50" s="14" t="str">
        <f t="shared" si="4"/>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rentalagreements</v>
      </c>
      <c r="Q50" s="4" t="str">
        <f>IF(LEN(Table23[[#This Row],[!tag]]) &gt;0,Table23[[#This Row],[!tag]],"rg:None")</f>
        <v>RentalAgreement</v>
      </c>
      <c r="R50" s="4" t="str">
        <f>IF(LEN(Table23[[#This Row],[!paramDef]]) &gt;0,Table23[[#This Row],[!paramDef]],"rg:None")</f>
        <v>RentalAgreement</v>
      </c>
      <c r="S50" s="4" t="str">
        <f>IF(LEN(Table23[[#This Row],[!respDef]]) &gt;0,Table23[[#This Row],[!respDef]],"rg:None")</f>
        <v>rg:None</v>
      </c>
      <c r="T50" s="4" t="str">
        <f>IF(LEN(Table23[[#This Row],[!Description]]) &gt;0,Table23[[#This Row],[!Description]],"rg:None")</f>
        <v>rg:None</v>
      </c>
    </row>
    <row r="51" spans="1:20" x14ac:dyDescent="0.3">
      <c r="A51" s="35" t="s">
        <v>75</v>
      </c>
      <c r="B51" s="35" t="s">
        <v>507</v>
      </c>
      <c r="C51" t="s">
        <v>477</v>
      </c>
      <c r="D51" s="36" t="s">
        <v>5</v>
      </c>
      <c r="E51" s="12"/>
      <c r="F51" s="13"/>
      <c r="G51" s="14" t="str">
        <f t="shared" si="4"/>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rentalagreementconditions</v>
      </c>
      <c r="Q51" s="4" t="str">
        <f>IF(LEN(Table23[[#This Row],[!tag]]) &gt;0,Table23[[#This Row],[!tag]],"rg:None")</f>
        <v>RentalAgreementCondition</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507</v>
      </c>
      <c r="C52" t="s">
        <v>477</v>
      </c>
      <c r="D52" s="36" t="s">
        <v>477</v>
      </c>
      <c r="E52" s="12"/>
      <c r="F52" s="13"/>
      <c r="G52" s="14" t="str">
        <f t="shared" si="4"/>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rentalagreementconditions</v>
      </c>
      <c r="Q52" s="4" t="str">
        <f>IF(LEN(Table23[[#This Row],[!tag]]) &gt;0,Table23[[#This Row],[!tag]],"rg:None")</f>
        <v>RentalAgreementCondition</v>
      </c>
      <c r="R52" s="4" t="str">
        <f>IF(LEN(Table23[[#This Row],[!paramDef]]) &gt;0,Table23[[#This Row],[!paramDef]],"rg:None")</f>
        <v>RentalAgreementCondition</v>
      </c>
      <c r="S52" s="4" t="str">
        <f>IF(LEN(Table23[[#This Row],[!respDef]]) &gt;0,Table23[[#This Row],[!respDef]],"rg:None")</f>
        <v>rg:None</v>
      </c>
      <c r="T52" s="4" t="str">
        <f>IF(LEN(Table23[[#This Row],[!Description]]) &gt;0,Table23[[#This Row],[!Description]],"rg:None")</f>
        <v>rg:None</v>
      </c>
    </row>
    <row r="53" spans="1:20" x14ac:dyDescent="0.3">
      <c r="A53" s="35" t="s">
        <v>75</v>
      </c>
      <c r="B53" s="35" t="s">
        <v>508</v>
      </c>
      <c r="C53" t="s">
        <v>464</v>
      </c>
      <c r="D53" s="36" t="s">
        <v>5</v>
      </c>
      <c r="E53" s="12"/>
      <c r="F53" s="13"/>
      <c r="G53" s="14" t="str">
        <f t="shared" si="4"/>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rentalagreementrates</v>
      </c>
      <c r="Q53" s="4" t="str">
        <f>IF(LEN(Table23[[#This Row],[!tag]]) &gt;0,Table23[[#This Row],[!tag]],"rg:None")</f>
        <v>RentalAgreementRate</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508</v>
      </c>
      <c r="C54" t="s">
        <v>464</v>
      </c>
      <c r="D54" s="36" t="s">
        <v>464</v>
      </c>
      <c r="E54" s="12"/>
      <c r="F54" s="13"/>
      <c r="G54" s="14" t="str">
        <f t="shared" si="4"/>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rentalagreementrates</v>
      </c>
      <c r="Q54" s="4" t="str">
        <f>IF(LEN(Table23[[#This Row],[!tag]]) &gt;0,Table23[[#This Row],[!tag]],"rg:None")</f>
        <v>RentalAgreementRate</v>
      </c>
      <c r="R54" s="4" t="str">
        <f>IF(LEN(Table23[[#This Row],[!paramDef]]) &gt;0,Table23[[#This Row],[!paramDef]],"rg:None")</f>
        <v>RentalAgreementRate</v>
      </c>
      <c r="S54" s="4" t="str">
        <f>IF(LEN(Table23[[#This Row],[!respDef]]) &gt;0,Table23[[#This Row],[!respDef]],"rg:None")</f>
        <v>rg:None</v>
      </c>
      <c r="T54" s="4" t="str">
        <f>IF(LEN(Table23[[#This Row],[!Description]]) &gt;0,Table23[[#This Row],[!Description]],"rg:None")</f>
        <v>rg:None</v>
      </c>
    </row>
    <row r="55" spans="1:20" x14ac:dyDescent="0.3">
      <c r="A55" s="35" t="s">
        <v>75</v>
      </c>
      <c r="B55" s="35" t="s">
        <v>509</v>
      </c>
      <c r="C55" t="s">
        <v>429</v>
      </c>
      <c r="D55" s="36" t="s">
        <v>5</v>
      </c>
      <c r="E55" s="12"/>
      <c r="F55" s="13"/>
      <c r="G55" s="14" t="str">
        <f t="shared" si="4"/>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rentalrequests</v>
      </c>
      <c r="Q55" s="4" t="str">
        <f>IF(LEN(Table23[[#This Row],[!tag]]) &gt;0,Table23[[#This Row],[!tag]],"rg:None")</f>
        <v>RentalRequest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509</v>
      </c>
      <c r="C56" t="s">
        <v>429</v>
      </c>
      <c r="D56" s="36" t="s">
        <v>429</v>
      </c>
      <c r="E56" s="12"/>
      <c r="F56" s="13"/>
      <c r="G56" s="14" t="str">
        <f t="shared" si="4"/>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rentalrequests</v>
      </c>
      <c r="Q56" s="4" t="str">
        <f>IF(LEN(Table23[[#This Row],[!tag]]) &gt;0,Table23[[#This Row],[!tag]],"rg:None")</f>
        <v>RentalRequest</v>
      </c>
      <c r="R56" s="4" t="str">
        <f>IF(LEN(Table23[[#This Row],[!paramDef]]) &gt;0,Table23[[#This Row],[!paramDef]],"rg:None")</f>
        <v>RentalRequest</v>
      </c>
      <c r="S56" s="4" t="str">
        <f>IF(LEN(Table23[[#This Row],[!respDef]]) &gt;0,Table23[[#This Row],[!respDef]],"rg:None")</f>
        <v>rg:None</v>
      </c>
      <c r="T56" s="4" t="str">
        <f>IF(LEN(Table23[[#This Row],[!Description]]) &gt;0,Table23[[#This Row],[!Description]],"rg:None")</f>
        <v>rg:None</v>
      </c>
    </row>
    <row r="57" spans="1:20" x14ac:dyDescent="0.3">
      <c r="A57" s="35" t="s">
        <v>75</v>
      </c>
      <c r="B57" s="35" t="s">
        <v>510</v>
      </c>
      <c r="C57" t="s">
        <v>447</v>
      </c>
      <c r="D57" s="36" t="s">
        <v>5</v>
      </c>
      <c r="E57" s="12"/>
      <c r="F57" s="13"/>
      <c r="G57" s="14" t="str">
        <f t="shared" si="4"/>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rentalrequestattachments</v>
      </c>
      <c r="Q57" s="4" t="str">
        <f>IF(LEN(Table23[[#This Row],[!tag]]) &gt;0,Table23[[#This Row],[!tag]],"rg:None")</f>
        <v>RentalRequestAttachment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510</v>
      </c>
      <c r="C58" t="s">
        <v>447</v>
      </c>
      <c r="D58" s="36" t="s">
        <v>447</v>
      </c>
      <c r="E58" s="12"/>
      <c r="F58" s="13"/>
      <c r="G58" s="14" t="str">
        <f t="shared" si="4"/>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rentalrequestattachments</v>
      </c>
      <c r="Q58" s="4" t="str">
        <f>IF(LEN(Table23[[#This Row],[!tag]]) &gt;0,Table23[[#This Row],[!tag]],"rg:None")</f>
        <v>RentalRequestAttachment</v>
      </c>
      <c r="R58" s="4" t="str">
        <f>IF(LEN(Table23[[#This Row],[!paramDef]]) &gt;0,Table23[[#This Row],[!paramDef]],"rg:None")</f>
        <v>RentalRequestAttachment</v>
      </c>
      <c r="S58" s="4" t="str">
        <f>IF(LEN(Table23[[#This Row],[!respDef]]) &gt;0,Table23[[#This Row],[!respDef]],"rg:None")</f>
        <v>rg:None</v>
      </c>
      <c r="T58" s="4" t="str">
        <f>IF(LEN(Table23[[#This Row],[!Description]]) &gt;0,Table23[[#This Row],[!Description]],"rg:None")</f>
        <v>rg:None</v>
      </c>
    </row>
    <row r="59" spans="1:20" x14ac:dyDescent="0.3">
      <c r="A59" s="35" t="s">
        <v>75</v>
      </c>
      <c r="B59" s="35" t="s">
        <v>511</v>
      </c>
      <c r="C59" t="s">
        <v>430</v>
      </c>
      <c r="D59" s="36" t="s">
        <v>5</v>
      </c>
      <c r="E59" s="12"/>
      <c r="F59" s="13"/>
      <c r="G59" s="14" t="str">
        <f t="shared" si="4"/>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rentalrequestrotationlists</v>
      </c>
      <c r="Q59" s="4" t="str">
        <f>IF(LEN(Table23[[#This Row],[!tag]]) &gt;0,Table23[[#This Row],[!tag]],"rg:None")</f>
        <v>RentalRequestRotationList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511</v>
      </c>
      <c r="C60" t="s">
        <v>430</v>
      </c>
      <c r="D60" s="36" t="s">
        <v>430</v>
      </c>
      <c r="E60" s="12"/>
      <c r="F60" s="13"/>
      <c r="G60" s="14" t="str">
        <f t="shared" si="4"/>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rentalrequestrotationlists</v>
      </c>
      <c r="Q60" s="4" t="str">
        <f>IF(LEN(Table23[[#This Row],[!tag]]) &gt;0,Table23[[#This Row],[!tag]],"rg:None")</f>
        <v>RentalRequestRotationList</v>
      </c>
      <c r="R60" s="4" t="str">
        <f>IF(LEN(Table23[[#This Row],[!paramDef]]) &gt;0,Table23[[#This Row],[!paramDef]],"rg:None")</f>
        <v>RentalRequestRotationList</v>
      </c>
      <c r="S60" s="4" t="str">
        <f>IF(LEN(Table23[[#This Row],[!respDef]]) &gt;0,Table23[[#This Row],[!respDef]],"rg:None")</f>
        <v>rg:None</v>
      </c>
      <c r="T60" s="4" t="str">
        <f>IF(LEN(Table23[[#This Row],[!Description]]) &gt;0,Table23[[#This Row],[!Description]],"rg:None")</f>
        <v>rg:None</v>
      </c>
    </row>
    <row r="61" spans="1:20" x14ac:dyDescent="0.3">
      <c r="A61" s="35" t="s">
        <v>75</v>
      </c>
      <c r="B61" s="35" t="s">
        <v>104</v>
      </c>
      <c r="C61" t="s">
        <v>55</v>
      </c>
      <c r="D61" s="36" t="s">
        <v>5</v>
      </c>
      <c r="E61" s="12"/>
      <c r="F61" s="13"/>
      <c r="G61" s="14" t="str">
        <f t="shared" si="4"/>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rolepermissions</v>
      </c>
      <c r="Q61" s="4" t="str">
        <f>IF(LEN(Table23[[#This Row],[!tag]]) &gt;0,Table23[[#This Row],[!tag]],"rg:None")</f>
        <v>RolePermission</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104</v>
      </c>
      <c r="C62" t="s">
        <v>55</v>
      </c>
      <c r="D62" s="36" t="s">
        <v>55</v>
      </c>
      <c r="E62" s="12"/>
      <c r="F62" s="13"/>
      <c r="G62" s="14" t="str">
        <f t="shared" si="4"/>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rolepermissions</v>
      </c>
      <c r="Q62" s="4" t="str">
        <f>IF(LEN(Table23[[#This Row],[!tag]]) &gt;0,Table23[[#This Row],[!tag]],"rg:None")</f>
        <v>RolePermission</v>
      </c>
      <c r="R62" s="4" t="str">
        <f>IF(LEN(Table23[[#This Row],[!paramDef]]) &gt;0,Table23[[#This Row],[!paramDef]],"rg:None")</f>
        <v>RolePermission</v>
      </c>
      <c r="S62" s="4" t="str">
        <f>IF(LEN(Table23[[#This Row],[!respDef]]) &gt;0,Table23[[#This Row],[!respDef]],"rg:None")</f>
        <v>rg:None</v>
      </c>
      <c r="T62" s="4" t="str">
        <f>IF(LEN(Table23[[#This Row],[!Description]]) &gt;0,Table23[[#This Row],[!Description]],"rg:None")</f>
        <v>rg:None</v>
      </c>
    </row>
    <row r="63" spans="1:20" x14ac:dyDescent="0.3">
      <c r="A63" s="35" t="s">
        <v>75</v>
      </c>
      <c r="B63" s="35" t="s">
        <v>512</v>
      </c>
      <c r="C63" t="s">
        <v>147</v>
      </c>
      <c r="D63" s="36" t="s">
        <v>5</v>
      </c>
      <c r="E63" s="12"/>
      <c r="F63" s="13"/>
      <c r="G63" s="14" t="str">
        <f t="shared" si="4"/>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seniorityaudits</v>
      </c>
      <c r="Q63" s="4" t="str">
        <f>IF(LEN(Table23[[#This Row],[!tag]]) &gt;0,Table23[[#This Row],[!tag]],"rg:None")</f>
        <v>SeniorityAudit</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512</v>
      </c>
      <c r="C64" t="s">
        <v>147</v>
      </c>
      <c r="D64" s="36" t="s">
        <v>147</v>
      </c>
      <c r="E64" s="12"/>
      <c r="F64" s="13"/>
      <c r="G64" s="14" t="str">
        <f t="shared" si="4"/>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seniorityaudits</v>
      </c>
      <c r="Q64" s="4" t="str">
        <f>IF(LEN(Table23[[#This Row],[!tag]]) &gt;0,Table23[[#This Row],[!tag]],"rg:None")</f>
        <v>SeniorityAudit</v>
      </c>
      <c r="R64" s="4" t="str">
        <f>IF(LEN(Table23[[#This Row],[!paramDef]]) &gt;0,Table23[[#This Row],[!paramDef]],"rg:None")</f>
        <v>SeniorityAudit</v>
      </c>
      <c r="S64" s="4" t="str">
        <f>IF(LEN(Table23[[#This Row],[!respDef]]) &gt;0,Table23[[#This Row],[!respDef]],"rg:None")</f>
        <v>rg:None</v>
      </c>
      <c r="T64" s="4" t="str">
        <f>IF(LEN(Table23[[#This Row],[!Description]]) &gt;0,Table23[[#This Row],[!Description]],"rg:None")</f>
        <v>rg:None</v>
      </c>
    </row>
    <row r="65" spans="1:20" x14ac:dyDescent="0.3">
      <c r="A65" s="35" t="s">
        <v>75</v>
      </c>
      <c r="B65" s="35" t="s">
        <v>513</v>
      </c>
      <c r="C65" t="s">
        <v>202</v>
      </c>
      <c r="D65" s="36" t="s">
        <v>5</v>
      </c>
      <c r="E65" s="12"/>
      <c r="F65" s="13"/>
      <c r="G65" s="14" t="str">
        <f t="shared" si="4"/>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timerecords</v>
      </c>
      <c r="Q65" s="4" t="str">
        <f>IF(LEN(Table23[[#This Row],[!tag]]) &gt;0,Table23[[#This Row],[!tag]],"rg:None")</f>
        <v>TimeRecord</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513</v>
      </c>
      <c r="C66" t="s">
        <v>202</v>
      </c>
      <c r="D66" s="36" t="s">
        <v>202</v>
      </c>
      <c r="E66" s="12"/>
      <c r="F66" s="13"/>
      <c r="G66" s="14" t="str">
        <f t="shared" si="4"/>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timerecords</v>
      </c>
      <c r="Q66" s="4" t="str">
        <f>IF(LEN(Table23[[#This Row],[!tag]]) &gt;0,Table23[[#This Row],[!tag]],"rg:None")</f>
        <v>TimeRecord</v>
      </c>
      <c r="R66" s="4" t="str">
        <f>IF(LEN(Table23[[#This Row],[!paramDef]]) &gt;0,Table23[[#This Row],[!paramDef]],"rg:None")</f>
        <v>TimeRecord</v>
      </c>
      <c r="S66" s="4" t="str">
        <f>IF(LEN(Table23[[#This Row],[!respDef]]) &gt;0,Table23[[#This Row],[!respDef]],"rg:None")</f>
        <v>rg:None</v>
      </c>
      <c r="T66" s="4" t="str">
        <f>IF(LEN(Table23[[#This Row],[!Description]]) &gt;0,Table23[[#This Row],[!Description]],"rg:None")</f>
        <v>rg:None</v>
      </c>
    </row>
    <row r="67" spans="1:20" x14ac:dyDescent="0.3">
      <c r="A67" s="35" t="s">
        <v>75</v>
      </c>
      <c r="B67" s="35" t="s">
        <v>514</v>
      </c>
      <c r="C67" t="s">
        <v>22</v>
      </c>
      <c r="D67" s="36" t="s">
        <v>5</v>
      </c>
      <c r="E67" s="12"/>
      <c r="F67" s="13"/>
      <c r="G67" s="14" t="str">
        <f t="shared" si="4"/>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userfavourites</v>
      </c>
      <c r="Q67" s="4" t="str">
        <f>IF(LEN(Table23[[#This Row],[!tag]]) &gt;0,Table23[[#This Row],[!tag]],"rg:None")</f>
        <v>UserFavourite</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514</v>
      </c>
      <c r="C68" t="s">
        <v>22</v>
      </c>
      <c r="D68" s="36" t="s">
        <v>22</v>
      </c>
      <c r="E68" s="12"/>
      <c r="F68" s="13"/>
      <c r="G68" s="14" t="str">
        <f t="shared" si="4"/>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userfavourites</v>
      </c>
      <c r="Q68" s="4" t="str">
        <f>IF(LEN(Table23[[#This Row],[!tag]]) &gt;0,Table23[[#This Row],[!tag]],"rg:None")</f>
        <v>UserFavourite</v>
      </c>
      <c r="R68" s="4" t="str">
        <f>IF(LEN(Table23[[#This Row],[!paramDef]]) &gt;0,Table23[[#This Row],[!paramDef]],"rg:None")</f>
        <v>UserFavourite</v>
      </c>
      <c r="S68" s="4" t="str">
        <f>IF(LEN(Table23[[#This Row],[!respDef]]) &gt;0,Table23[[#This Row],[!respDef]],"rg:None")</f>
        <v>rg:None</v>
      </c>
      <c r="T68" s="4" t="str">
        <f>IF(LEN(Table23[[#This Row],[!Description]]) &gt;0,Table23[[#This Row],[!Description]],"rg:None")</f>
        <v>rg:None</v>
      </c>
    </row>
    <row r="69" spans="1:20" x14ac:dyDescent="0.3">
      <c r="A69" s="35" t="s">
        <v>75</v>
      </c>
      <c r="B69" s="35" t="s">
        <v>99</v>
      </c>
      <c r="C69" t="s">
        <v>50</v>
      </c>
      <c r="D69" s="36" t="s">
        <v>5</v>
      </c>
      <c r="E69" s="12"/>
      <c r="F69" s="13"/>
      <c r="G69" s="14" t="str">
        <f t="shared" si="4"/>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userroles</v>
      </c>
      <c r="Q69" s="4" t="str">
        <f>IF(LEN(Table23[[#This Row],[!tag]]) &gt;0,Table23[[#This Row],[!tag]],"rg:None")</f>
        <v>UserRole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5" t="s">
        <v>77</v>
      </c>
      <c r="B70" s="35" t="s">
        <v>99</v>
      </c>
      <c r="C70" t="s">
        <v>50</v>
      </c>
      <c r="D70" s="36" t="s">
        <v>50</v>
      </c>
      <c r="E70" s="12"/>
      <c r="F70" s="13"/>
      <c r="G70" s="14" t="str">
        <f t="shared" si="4"/>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userroles</v>
      </c>
      <c r="Q70" s="4" t="str">
        <f>IF(LEN(Table23[[#This Row],[!tag]]) &gt;0,Table23[[#This Row],[!tag]],"rg:None")</f>
        <v>UserRole</v>
      </c>
      <c r="R70" s="4" t="str">
        <f>IF(LEN(Table23[[#This Row],[!paramDef]]) &gt;0,Table23[[#This Row],[!paramDef]],"rg:None")</f>
        <v>UserRole</v>
      </c>
      <c r="S70" s="4" t="str">
        <f>IF(LEN(Table23[[#This Row],[!respDef]]) &gt;0,Table23[[#This Row],[!respDef]],"rg:None")</f>
        <v>rg:None</v>
      </c>
      <c r="T7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2017-03-20T20:45:57Z</dcterms:modified>
</cp:coreProperties>
</file>