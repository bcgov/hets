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showInkAnnotation="0" codeName="ThisWorkbook" autoCompressPictures="0"/>
  <mc:AlternateContent xmlns:mc="http://schemas.openxmlformats.org/markup-compatibility/2006">
    <mc:Choice Requires="x15">
      <x15ac:absPath xmlns:x15ac="http://schemas.microsoft.com/office/spreadsheetml/2010/11/ac" url="C:\Workspace\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9"/>
  <definedNames>
    <definedName name="_xlnm._FilterDatabase" localSheetId="0" hidden="1">defs.csv!$A$1:$Y$374</definedName>
    <definedName name="_xlnm._FilterDatabase" localSheetId="1" hidden="1">paths.csv!$A$1:$G$72</definedName>
  </definedNames>
  <calcPr calcId="162913"/>
</workbook>
</file>

<file path=xl/calcChain.xml><?xml version="1.0" encoding="utf-8"?>
<calcChain xmlns="http://schemas.openxmlformats.org/spreadsheetml/2006/main">
  <c r="I74" i="27" l="1"/>
  <c r="J74" i="27"/>
  <c r="K74" i="27"/>
  <c r="L74" i="27"/>
  <c r="M74" i="27"/>
  <c r="N74" i="27"/>
  <c r="O74" i="27"/>
  <c r="P74" i="27"/>
  <c r="Q74" i="27"/>
  <c r="R74" i="27"/>
  <c r="S74" i="27"/>
  <c r="T74" i="27"/>
  <c r="U74" i="27"/>
  <c r="V74" i="27"/>
  <c r="W74" i="27"/>
  <c r="Y74" i="27"/>
  <c r="I370" i="27"/>
  <c r="J370" i="27"/>
  <c r="K370" i="27"/>
  <c r="L370" i="27"/>
  <c r="M370" i="27"/>
  <c r="N370" i="27"/>
  <c r="O370" i="27"/>
  <c r="P370" i="27"/>
  <c r="Q370" i="27"/>
  <c r="R370" i="27"/>
  <c r="S370" i="27"/>
  <c r="T370" i="27"/>
  <c r="U370" i="27"/>
  <c r="V370" i="27"/>
  <c r="W370" i="27"/>
  <c r="Y370" i="27"/>
  <c r="X74" i="27"/>
  <c r="X370" i="27"/>
  <c r="I371" i="27" l="1"/>
  <c r="I372" i="27"/>
  <c r="I373" i="27"/>
  <c r="I374" i="27"/>
  <c r="J371" i="27"/>
  <c r="J372" i="27"/>
  <c r="J373" i="27"/>
  <c r="J374" i="27"/>
  <c r="K371" i="27"/>
  <c r="K372" i="27"/>
  <c r="K373" i="27"/>
  <c r="K374" i="27"/>
  <c r="L371" i="27"/>
  <c r="L372" i="27"/>
  <c r="L373" i="27"/>
  <c r="L374" i="27"/>
  <c r="M371" i="27"/>
  <c r="M372" i="27"/>
  <c r="M373" i="27"/>
  <c r="M374" i="27"/>
  <c r="N371" i="27"/>
  <c r="N372" i="27"/>
  <c r="N373" i="27"/>
  <c r="N374" i="27"/>
  <c r="O371" i="27"/>
  <c r="O372" i="27"/>
  <c r="O373" i="27"/>
  <c r="O374" i="27"/>
  <c r="P371" i="27"/>
  <c r="P372" i="27"/>
  <c r="P373" i="27"/>
  <c r="P374" i="27"/>
  <c r="Q371" i="27"/>
  <c r="Q372" i="27"/>
  <c r="Q373" i="27"/>
  <c r="Q374" i="27"/>
  <c r="R371" i="27"/>
  <c r="R372" i="27"/>
  <c r="R373" i="27"/>
  <c r="R374" i="27"/>
  <c r="S371" i="27"/>
  <c r="S372" i="27"/>
  <c r="S373" i="27"/>
  <c r="S374" i="27"/>
  <c r="T371" i="27"/>
  <c r="T372" i="27"/>
  <c r="T373" i="27"/>
  <c r="T374" i="27"/>
  <c r="U371" i="27"/>
  <c r="U372" i="27"/>
  <c r="U373" i="27"/>
  <c r="U374" i="27"/>
  <c r="V371" i="27"/>
  <c r="V372" i="27"/>
  <c r="V373" i="27"/>
  <c r="V374" i="27"/>
  <c r="W371" i="27"/>
  <c r="W372" i="27"/>
  <c r="W373" i="27"/>
  <c r="W374" i="27"/>
  <c r="Y371" i="27"/>
  <c r="Y372" i="27"/>
  <c r="Y373" i="27"/>
  <c r="Y374" i="27"/>
  <c r="Y363" i="27"/>
  <c r="W363" i="27"/>
  <c r="V363" i="27"/>
  <c r="U363" i="27"/>
  <c r="T363" i="27"/>
  <c r="S363" i="27"/>
  <c r="R363" i="27"/>
  <c r="Q363" i="27"/>
  <c r="P363" i="27"/>
  <c r="O363" i="27"/>
  <c r="N363" i="27"/>
  <c r="M363" i="27"/>
  <c r="L363" i="27"/>
  <c r="K363" i="27"/>
  <c r="J363" i="27"/>
  <c r="I363" i="27"/>
  <c r="Y362" i="27"/>
  <c r="W362" i="27"/>
  <c r="V362" i="27"/>
  <c r="U362" i="27"/>
  <c r="T362" i="27"/>
  <c r="S362" i="27"/>
  <c r="R362" i="27"/>
  <c r="Q362" i="27"/>
  <c r="P362" i="27"/>
  <c r="O362" i="27"/>
  <c r="N362" i="27"/>
  <c r="M362" i="27"/>
  <c r="L362" i="27"/>
  <c r="K362" i="27"/>
  <c r="J362" i="27"/>
  <c r="I362" i="27"/>
  <c r="Y361" i="27"/>
  <c r="W361" i="27"/>
  <c r="V361" i="27"/>
  <c r="U361" i="27"/>
  <c r="T361" i="27"/>
  <c r="S361" i="27"/>
  <c r="R361" i="27"/>
  <c r="Q361" i="27"/>
  <c r="P361" i="27"/>
  <c r="O361" i="27"/>
  <c r="N361" i="27"/>
  <c r="M361" i="27"/>
  <c r="L361" i="27"/>
  <c r="K361" i="27"/>
  <c r="J361" i="27"/>
  <c r="I361" i="27"/>
  <c r="I364" i="27"/>
  <c r="I365" i="27"/>
  <c r="I366" i="27"/>
  <c r="I367" i="27"/>
  <c r="I368" i="27"/>
  <c r="J364" i="27"/>
  <c r="J365" i="27"/>
  <c r="J366" i="27"/>
  <c r="J367" i="27"/>
  <c r="J368" i="27"/>
  <c r="K364" i="27"/>
  <c r="K365" i="27"/>
  <c r="K366" i="27"/>
  <c r="K367" i="27"/>
  <c r="K368" i="27"/>
  <c r="L364" i="27"/>
  <c r="L365" i="27"/>
  <c r="L366" i="27"/>
  <c r="L367" i="27"/>
  <c r="L368" i="27"/>
  <c r="M364" i="27"/>
  <c r="M365" i="27"/>
  <c r="M366" i="27"/>
  <c r="M367" i="27"/>
  <c r="M368" i="27"/>
  <c r="N364" i="27"/>
  <c r="N365" i="27"/>
  <c r="N366" i="27"/>
  <c r="N367" i="27"/>
  <c r="N368" i="27"/>
  <c r="O364" i="27"/>
  <c r="O365" i="27"/>
  <c r="O366" i="27"/>
  <c r="O367" i="27"/>
  <c r="O368" i="27"/>
  <c r="P364" i="27"/>
  <c r="P365" i="27"/>
  <c r="P366" i="27"/>
  <c r="P367" i="27"/>
  <c r="P368" i="27"/>
  <c r="Q364" i="27"/>
  <c r="Q365" i="27"/>
  <c r="Q366" i="27"/>
  <c r="Q367" i="27"/>
  <c r="Q368" i="27"/>
  <c r="R364" i="27"/>
  <c r="R365" i="27"/>
  <c r="R366" i="27"/>
  <c r="R367" i="27"/>
  <c r="R368" i="27"/>
  <c r="S364" i="27"/>
  <c r="S365" i="27"/>
  <c r="S366" i="27"/>
  <c r="S367" i="27"/>
  <c r="S368" i="27"/>
  <c r="T364" i="27"/>
  <c r="T365" i="27"/>
  <c r="T366" i="27"/>
  <c r="T367" i="27"/>
  <c r="T368" i="27"/>
  <c r="U364" i="27"/>
  <c r="U365" i="27"/>
  <c r="U366" i="27"/>
  <c r="U367" i="27"/>
  <c r="U368" i="27"/>
  <c r="V364" i="27"/>
  <c r="V365" i="27"/>
  <c r="V366" i="27"/>
  <c r="V367" i="27"/>
  <c r="V368" i="27"/>
  <c r="W364" i="27"/>
  <c r="W365" i="27"/>
  <c r="W366" i="27"/>
  <c r="W367" i="27"/>
  <c r="W368" i="27"/>
  <c r="Y364" i="27"/>
  <c r="Y365" i="27"/>
  <c r="Y366" i="27"/>
  <c r="Y367" i="27"/>
  <c r="Y368" i="27"/>
  <c r="I369" i="27"/>
  <c r="J369" i="27"/>
  <c r="K369" i="27"/>
  <c r="L369" i="27"/>
  <c r="M369" i="27"/>
  <c r="N369" i="27"/>
  <c r="O369" i="27"/>
  <c r="P369" i="27"/>
  <c r="Q369" i="27"/>
  <c r="R369" i="27"/>
  <c r="S369" i="27"/>
  <c r="T369" i="27"/>
  <c r="U369" i="27"/>
  <c r="V369" i="27"/>
  <c r="W369" i="27"/>
  <c r="Y369" i="27"/>
  <c r="X373" i="27"/>
  <c r="X371" i="27"/>
  <c r="X366" i="27"/>
  <c r="X372" i="27"/>
  <c r="X367" i="27"/>
  <c r="X374" i="27"/>
  <c r="X368" i="27"/>
  <c r="X363" i="27"/>
  <c r="X369" i="27"/>
  <c r="X361" i="27"/>
  <c r="X364" i="27"/>
  <c r="X365" i="27"/>
  <c r="X362" i="27"/>
  <c r="Y220" i="27" l="1"/>
  <c r="W220" i="27"/>
  <c r="V220" i="27"/>
  <c r="U220" i="27"/>
  <c r="T220" i="27"/>
  <c r="S220" i="27"/>
  <c r="R220" i="27"/>
  <c r="Q220" i="27"/>
  <c r="P220" i="27"/>
  <c r="O220" i="27"/>
  <c r="N220" i="27"/>
  <c r="M220" i="27"/>
  <c r="L220" i="27"/>
  <c r="K220" i="27"/>
  <c r="J220" i="27"/>
  <c r="I220" i="27"/>
  <c r="Y219" i="27"/>
  <c r="W219" i="27"/>
  <c r="V219" i="27"/>
  <c r="U219" i="27"/>
  <c r="T219" i="27"/>
  <c r="S219" i="27"/>
  <c r="R219" i="27"/>
  <c r="Q219" i="27"/>
  <c r="P219" i="27"/>
  <c r="O219" i="27"/>
  <c r="N219" i="27"/>
  <c r="M219" i="27"/>
  <c r="L219" i="27"/>
  <c r="K219" i="27"/>
  <c r="J219" i="27"/>
  <c r="I219" i="27"/>
  <c r="X220" i="27"/>
  <c r="X219" i="27"/>
  <c r="Y218" i="27" l="1"/>
  <c r="W218" i="27"/>
  <c r="V218" i="27"/>
  <c r="U218" i="27"/>
  <c r="T218" i="27"/>
  <c r="S218" i="27"/>
  <c r="R218" i="27"/>
  <c r="Q218" i="27"/>
  <c r="P218" i="27"/>
  <c r="O218" i="27"/>
  <c r="N218" i="27"/>
  <c r="M218" i="27"/>
  <c r="L218" i="27"/>
  <c r="K218" i="27"/>
  <c r="J218" i="27"/>
  <c r="I218" i="27"/>
  <c r="Y217" i="27"/>
  <c r="W217" i="27"/>
  <c r="V217" i="27"/>
  <c r="U217" i="27"/>
  <c r="T217" i="27"/>
  <c r="S217" i="27"/>
  <c r="R217" i="27"/>
  <c r="Q217" i="27"/>
  <c r="P217" i="27"/>
  <c r="O217" i="27"/>
  <c r="N217" i="27"/>
  <c r="M217" i="27"/>
  <c r="L217" i="27"/>
  <c r="K217" i="27"/>
  <c r="J217" i="27"/>
  <c r="I217" i="27"/>
  <c r="Y216" i="27"/>
  <c r="W216" i="27"/>
  <c r="V216" i="27"/>
  <c r="U216" i="27"/>
  <c r="T216" i="27"/>
  <c r="S216" i="27"/>
  <c r="R216" i="27"/>
  <c r="Q216" i="27"/>
  <c r="P216" i="27"/>
  <c r="O216" i="27"/>
  <c r="N216" i="27"/>
  <c r="M216" i="27"/>
  <c r="L216" i="27"/>
  <c r="K216" i="27"/>
  <c r="J216" i="27"/>
  <c r="I216" i="27"/>
  <c r="Y215" i="27"/>
  <c r="W215" i="27"/>
  <c r="V215" i="27"/>
  <c r="U215" i="27"/>
  <c r="T215" i="27"/>
  <c r="S215" i="27"/>
  <c r="R215" i="27"/>
  <c r="Q215" i="27"/>
  <c r="P215" i="27"/>
  <c r="O215" i="27"/>
  <c r="N215" i="27"/>
  <c r="M215" i="27"/>
  <c r="L215" i="27"/>
  <c r="K215" i="27"/>
  <c r="J215" i="27"/>
  <c r="I215" i="27"/>
  <c r="Y214" i="27"/>
  <c r="W214" i="27"/>
  <c r="V214" i="27"/>
  <c r="U214" i="27"/>
  <c r="T214" i="27"/>
  <c r="S214" i="27"/>
  <c r="R214" i="27"/>
  <c r="Q214" i="27"/>
  <c r="P214" i="27"/>
  <c r="O214" i="27"/>
  <c r="N214" i="27"/>
  <c r="M214" i="27"/>
  <c r="L214" i="27"/>
  <c r="K214" i="27"/>
  <c r="J214" i="27"/>
  <c r="I214" i="27"/>
  <c r="X216" i="27"/>
  <c r="X215" i="27"/>
  <c r="X217" i="27"/>
  <c r="X214" i="27"/>
  <c r="X218" i="27"/>
  <c r="I267" i="27" l="1"/>
  <c r="J267" i="27"/>
  <c r="K267" i="27"/>
  <c r="L267" i="27"/>
  <c r="M267" i="27"/>
  <c r="N267" i="27"/>
  <c r="O267" i="27"/>
  <c r="P267" i="27"/>
  <c r="Q267" i="27"/>
  <c r="R267" i="27"/>
  <c r="S267" i="27"/>
  <c r="T267" i="27"/>
  <c r="U267" i="27"/>
  <c r="V267" i="27"/>
  <c r="W267" i="27"/>
  <c r="Y267" i="27"/>
  <c r="X267" i="27"/>
  <c r="I360" i="27" l="1"/>
  <c r="J360" i="27"/>
  <c r="K360" i="27"/>
  <c r="L360" i="27"/>
  <c r="M360" i="27"/>
  <c r="N360" i="27"/>
  <c r="O360" i="27"/>
  <c r="P360" i="27"/>
  <c r="Q360" i="27"/>
  <c r="R360" i="27"/>
  <c r="S360" i="27"/>
  <c r="T360" i="27"/>
  <c r="U360" i="27"/>
  <c r="V360" i="27"/>
  <c r="W360" i="27"/>
  <c r="Y360" i="27"/>
  <c r="I359" i="27"/>
  <c r="J359" i="27"/>
  <c r="K359" i="27"/>
  <c r="L359" i="27"/>
  <c r="M359" i="27"/>
  <c r="N359" i="27"/>
  <c r="O359" i="27"/>
  <c r="P359" i="27"/>
  <c r="Q359" i="27"/>
  <c r="R359" i="27"/>
  <c r="S359" i="27"/>
  <c r="T359" i="27"/>
  <c r="U359" i="27"/>
  <c r="V359" i="27"/>
  <c r="W359" i="27"/>
  <c r="Y359" i="27"/>
  <c r="I358" i="27"/>
  <c r="J358" i="27"/>
  <c r="K358" i="27"/>
  <c r="L358" i="27"/>
  <c r="M358" i="27"/>
  <c r="N358" i="27"/>
  <c r="O358" i="27"/>
  <c r="P358" i="27"/>
  <c r="Q358" i="27"/>
  <c r="R358" i="27"/>
  <c r="S358" i="27"/>
  <c r="T358" i="27"/>
  <c r="U358" i="27"/>
  <c r="V358" i="27"/>
  <c r="W358" i="27"/>
  <c r="Y358" i="27"/>
  <c r="I357" i="27"/>
  <c r="J357" i="27"/>
  <c r="K357" i="27"/>
  <c r="L357" i="27"/>
  <c r="M357" i="27"/>
  <c r="N357" i="27"/>
  <c r="O357" i="27"/>
  <c r="P357" i="27"/>
  <c r="Q357" i="27"/>
  <c r="R357" i="27"/>
  <c r="S357" i="27"/>
  <c r="T357" i="27"/>
  <c r="U357" i="27"/>
  <c r="V357" i="27"/>
  <c r="W357" i="27"/>
  <c r="Y357" i="27"/>
  <c r="I356" i="27"/>
  <c r="J356" i="27"/>
  <c r="K356" i="27"/>
  <c r="L356" i="27"/>
  <c r="M356" i="27"/>
  <c r="N356" i="27"/>
  <c r="O356" i="27"/>
  <c r="P356" i="27"/>
  <c r="Q356" i="27"/>
  <c r="R356" i="27"/>
  <c r="S356" i="27"/>
  <c r="T356" i="27"/>
  <c r="U356" i="27"/>
  <c r="V356" i="27"/>
  <c r="W356" i="27"/>
  <c r="Y356" i="27"/>
  <c r="I355" i="27"/>
  <c r="J355" i="27"/>
  <c r="K355" i="27"/>
  <c r="L355" i="27"/>
  <c r="M355" i="27"/>
  <c r="N355" i="27"/>
  <c r="O355" i="27"/>
  <c r="P355" i="27"/>
  <c r="Q355" i="27"/>
  <c r="R355" i="27"/>
  <c r="S355" i="27"/>
  <c r="T355" i="27"/>
  <c r="U355" i="27"/>
  <c r="V355" i="27"/>
  <c r="W355" i="27"/>
  <c r="Y355" i="27"/>
  <c r="X358" i="27"/>
  <c r="X359" i="27"/>
  <c r="X356" i="27"/>
  <c r="X357" i="27"/>
  <c r="X360" i="27"/>
  <c r="X355"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30" i="27"/>
  <c r="X28" i="27"/>
  <c r="I86" i="27" l="1"/>
  <c r="J86" i="27"/>
  <c r="K86" i="27"/>
  <c r="L86" i="27"/>
  <c r="M86" i="27"/>
  <c r="N86" i="27"/>
  <c r="O86" i="27"/>
  <c r="P86" i="27"/>
  <c r="Q86" i="27"/>
  <c r="R86" i="27"/>
  <c r="S86" i="27"/>
  <c r="T86" i="27"/>
  <c r="U86" i="27"/>
  <c r="V86" i="27"/>
  <c r="W86" i="27"/>
  <c r="Y86" i="27"/>
  <c r="Y205" i="27"/>
  <c r="W205" i="27"/>
  <c r="V205" i="27"/>
  <c r="U205" i="27"/>
  <c r="T205" i="27"/>
  <c r="S205" i="27"/>
  <c r="R205" i="27"/>
  <c r="Q205" i="27"/>
  <c r="P205" i="27"/>
  <c r="O205" i="27"/>
  <c r="N205" i="27"/>
  <c r="M205" i="27"/>
  <c r="L205" i="27"/>
  <c r="K205" i="27"/>
  <c r="J205" i="27"/>
  <c r="I205" i="27"/>
  <c r="Y204" i="27"/>
  <c r="W204" i="27"/>
  <c r="V204" i="27"/>
  <c r="U204" i="27"/>
  <c r="T204" i="27"/>
  <c r="S204" i="27"/>
  <c r="R204" i="27"/>
  <c r="Q204" i="27"/>
  <c r="P204" i="27"/>
  <c r="O204" i="27"/>
  <c r="N204" i="27"/>
  <c r="M204" i="27"/>
  <c r="L204" i="27"/>
  <c r="K204" i="27"/>
  <c r="J204" i="27"/>
  <c r="I204" i="27"/>
  <c r="X205" i="27"/>
  <c r="X86" i="27"/>
  <c r="X204"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5" i="27"/>
  <c r="Y76" i="27"/>
  <c r="Y77" i="27"/>
  <c r="Y78" i="27"/>
  <c r="Y79" i="27"/>
  <c r="Y80" i="27"/>
  <c r="Y81" i="27"/>
  <c r="Y82" i="27"/>
  <c r="Y83" i="27"/>
  <c r="Y84" i="27"/>
  <c r="Y85"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6" i="27"/>
  <c r="Y207" i="27"/>
  <c r="Y208" i="27"/>
  <c r="Y209" i="27"/>
  <c r="Y210" i="27"/>
  <c r="Y211" i="27"/>
  <c r="Y212" i="27"/>
  <c r="Y213"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Y348" i="27"/>
  <c r="Y349" i="27"/>
  <c r="Y350" i="27"/>
  <c r="Y351" i="27"/>
  <c r="Y352" i="27"/>
  <c r="Y353" i="27"/>
  <c r="Y354"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36" i="27" l="1"/>
  <c r="I237" i="27"/>
  <c r="I238" i="27"/>
  <c r="I239" i="27"/>
  <c r="I240" i="27"/>
  <c r="I241" i="27"/>
  <c r="I242" i="27"/>
  <c r="J236" i="27"/>
  <c r="J237" i="27"/>
  <c r="J238" i="27"/>
  <c r="J239" i="27"/>
  <c r="J240" i="27"/>
  <c r="J241" i="27"/>
  <c r="J242" i="27"/>
  <c r="K236" i="27"/>
  <c r="K237" i="27"/>
  <c r="K238" i="27"/>
  <c r="K239" i="27"/>
  <c r="K240" i="27"/>
  <c r="K241" i="27"/>
  <c r="K242" i="27"/>
  <c r="L236" i="27"/>
  <c r="L237" i="27"/>
  <c r="L238" i="27"/>
  <c r="L239" i="27"/>
  <c r="L240" i="27"/>
  <c r="L241" i="27"/>
  <c r="L242" i="27"/>
  <c r="M236" i="27"/>
  <c r="M237" i="27"/>
  <c r="M238" i="27"/>
  <c r="M239" i="27"/>
  <c r="M240" i="27"/>
  <c r="M241" i="27"/>
  <c r="M242" i="27"/>
  <c r="N236" i="27"/>
  <c r="N237" i="27"/>
  <c r="N238" i="27"/>
  <c r="N239" i="27"/>
  <c r="N240" i="27"/>
  <c r="N241" i="27"/>
  <c r="N242" i="27"/>
  <c r="O236" i="27"/>
  <c r="O237" i="27"/>
  <c r="O238" i="27"/>
  <c r="O239" i="27"/>
  <c r="O240" i="27"/>
  <c r="O241" i="27"/>
  <c r="O242" i="27"/>
  <c r="P236" i="27"/>
  <c r="P237" i="27"/>
  <c r="P238" i="27"/>
  <c r="P239" i="27"/>
  <c r="P240" i="27"/>
  <c r="P241" i="27"/>
  <c r="P242" i="27"/>
  <c r="Q236" i="27"/>
  <c r="Q237" i="27"/>
  <c r="Q238" i="27"/>
  <c r="Q239" i="27"/>
  <c r="Q240" i="27"/>
  <c r="Q241" i="27"/>
  <c r="Q242" i="27"/>
  <c r="R236" i="27"/>
  <c r="R237" i="27"/>
  <c r="R238" i="27"/>
  <c r="R239" i="27"/>
  <c r="R240" i="27"/>
  <c r="R241" i="27"/>
  <c r="R242" i="27"/>
  <c r="S236" i="27"/>
  <c r="S237" i="27"/>
  <c r="S238" i="27"/>
  <c r="S239" i="27"/>
  <c r="S240" i="27"/>
  <c r="S241" i="27"/>
  <c r="S242" i="27"/>
  <c r="T236" i="27"/>
  <c r="T237" i="27"/>
  <c r="T238" i="27"/>
  <c r="T239" i="27"/>
  <c r="T240" i="27"/>
  <c r="T241" i="27"/>
  <c r="T242" i="27"/>
  <c r="U236" i="27"/>
  <c r="U237" i="27"/>
  <c r="U238" i="27"/>
  <c r="U239" i="27"/>
  <c r="U240" i="27"/>
  <c r="U241" i="27"/>
  <c r="U242" i="27"/>
  <c r="V236" i="27"/>
  <c r="V237" i="27"/>
  <c r="V238" i="27"/>
  <c r="V239" i="27"/>
  <c r="V240" i="27"/>
  <c r="V241" i="27"/>
  <c r="V242" i="27"/>
  <c r="W236" i="27"/>
  <c r="W237" i="27"/>
  <c r="W238" i="27"/>
  <c r="W239" i="27"/>
  <c r="W240" i="27"/>
  <c r="W241" i="27"/>
  <c r="W242" i="27"/>
  <c r="X236" i="27"/>
  <c r="X237" i="27"/>
  <c r="X240" i="27"/>
  <c r="X241" i="27"/>
  <c r="X239" i="27"/>
  <c r="X238" i="27"/>
  <c r="X242"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0" i="27"/>
  <c r="J180" i="27"/>
  <c r="K180" i="27"/>
  <c r="L180" i="27"/>
  <c r="M180" i="27"/>
  <c r="N180" i="27"/>
  <c r="O180" i="27"/>
  <c r="P180" i="27"/>
  <c r="Q180" i="27"/>
  <c r="R180" i="27"/>
  <c r="S180" i="27"/>
  <c r="T180" i="27"/>
  <c r="U180" i="27"/>
  <c r="V180" i="27"/>
  <c r="W180" i="27"/>
  <c r="I165" i="27"/>
  <c r="J165" i="27"/>
  <c r="K165" i="27"/>
  <c r="L165" i="27"/>
  <c r="M165" i="27"/>
  <c r="N165" i="27"/>
  <c r="O165" i="27"/>
  <c r="P165" i="27"/>
  <c r="Q165" i="27"/>
  <c r="R165" i="27"/>
  <c r="S165" i="27"/>
  <c r="T165" i="27"/>
  <c r="U165" i="27"/>
  <c r="V165" i="27"/>
  <c r="W165" i="27"/>
  <c r="X165" i="27"/>
  <c r="X180" i="27"/>
  <c r="I174" i="27" l="1"/>
  <c r="J174" i="27"/>
  <c r="K174" i="27"/>
  <c r="L174" i="27"/>
  <c r="M174" i="27"/>
  <c r="N174" i="27"/>
  <c r="O174" i="27"/>
  <c r="P174" i="27"/>
  <c r="Q174" i="27"/>
  <c r="R174" i="27"/>
  <c r="S174" i="27"/>
  <c r="T174" i="27"/>
  <c r="U174" i="27"/>
  <c r="V174" i="27"/>
  <c r="W174" i="27"/>
  <c r="I167" i="27"/>
  <c r="J167" i="27"/>
  <c r="K167" i="27"/>
  <c r="L167" i="27"/>
  <c r="M167" i="27"/>
  <c r="N167" i="27"/>
  <c r="O167" i="27"/>
  <c r="P167" i="27"/>
  <c r="Q167" i="27"/>
  <c r="R167" i="27"/>
  <c r="S167" i="27"/>
  <c r="T167" i="27"/>
  <c r="U167" i="27"/>
  <c r="V167" i="27"/>
  <c r="W167" i="27"/>
  <c r="I171" i="27"/>
  <c r="J171" i="27"/>
  <c r="K171" i="27"/>
  <c r="L171" i="27"/>
  <c r="M171" i="27"/>
  <c r="N171" i="27"/>
  <c r="O171" i="27"/>
  <c r="P171" i="27"/>
  <c r="Q171" i="27"/>
  <c r="R171" i="27"/>
  <c r="S171" i="27"/>
  <c r="T171" i="27"/>
  <c r="U171" i="27"/>
  <c r="V171" i="27"/>
  <c r="W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X174" i="27"/>
  <c r="X171" i="27"/>
  <c r="X170" i="27"/>
  <c r="X163" i="27"/>
  <c r="X168" i="27"/>
  <c r="X167" i="27"/>
  <c r="X169" i="27"/>
  <c r="X162" i="27"/>
  <c r="X164" i="27"/>
  <c r="X166" i="27"/>
  <c r="I10" i="27" l="1"/>
  <c r="J10" i="27"/>
  <c r="K10" i="27"/>
  <c r="L10" i="27"/>
  <c r="M10" i="27"/>
  <c r="N10" i="27"/>
  <c r="O10" i="27"/>
  <c r="P10" i="27"/>
  <c r="Q10" i="27"/>
  <c r="R10" i="27"/>
  <c r="S10" i="27"/>
  <c r="T10" i="27"/>
  <c r="U10" i="27"/>
  <c r="V10" i="27"/>
  <c r="W10" i="27"/>
  <c r="X10" i="27"/>
  <c r="I184" i="27" l="1"/>
  <c r="J184" i="27"/>
  <c r="K184" i="27"/>
  <c r="L184" i="27"/>
  <c r="M184" i="27"/>
  <c r="N184" i="27"/>
  <c r="O184" i="27"/>
  <c r="P184" i="27"/>
  <c r="Q184" i="27"/>
  <c r="R184" i="27"/>
  <c r="S184" i="27"/>
  <c r="T184" i="27"/>
  <c r="U184" i="27"/>
  <c r="V184" i="27"/>
  <c r="W184" i="27"/>
  <c r="I186" i="27"/>
  <c r="J186" i="27"/>
  <c r="K186" i="27"/>
  <c r="L186" i="27"/>
  <c r="M186" i="27"/>
  <c r="N186" i="27"/>
  <c r="O186" i="27"/>
  <c r="P186" i="27"/>
  <c r="Q186" i="27"/>
  <c r="R186" i="27"/>
  <c r="S186" i="27"/>
  <c r="T186" i="27"/>
  <c r="U186" i="27"/>
  <c r="V186" i="27"/>
  <c r="W186" i="27"/>
  <c r="I182" i="27"/>
  <c r="J182" i="27"/>
  <c r="K182" i="27"/>
  <c r="L182" i="27"/>
  <c r="M182" i="27"/>
  <c r="N182" i="27"/>
  <c r="O182" i="27"/>
  <c r="P182" i="27"/>
  <c r="Q182" i="27"/>
  <c r="R182" i="27"/>
  <c r="S182" i="27"/>
  <c r="T182" i="27"/>
  <c r="U182" i="27"/>
  <c r="V182" i="27"/>
  <c r="W182" i="27"/>
  <c r="X182" i="27"/>
  <c r="X186" i="27"/>
  <c r="X184" i="27"/>
  <c r="I7" i="27" l="1"/>
  <c r="J7" i="27"/>
  <c r="K7" i="27"/>
  <c r="L7" i="27"/>
  <c r="M7" i="27"/>
  <c r="N7" i="27"/>
  <c r="O7" i="27"/>
  <c r="P7" i="27"/>
  <c r="Q7" i="27"/>
  <c r="R7" i="27"/>
  <c r="S7" i="27"/>
  <c r="T7" i="27"/>
  <c r="U7" i="27"/>
  <c r="V7" i="27"/>
  <c r="W7" i="27"/>
  <c r="X7" i="27"/>
  <c r="I185" i="27" l="1"/>
  <c r="J185" i="27"/>
  <c r="K185" i="27"/>
  <c r="L185" i="27"/>
  <c r="M185" i="27"/>
  <c r="N185" i="27"/>
  <c r="O185" i="27"/>
  <c r="P185" i="27"/>
  <c r="Q185" i="27"/>
  <c r="R185" i="27"/>
  <c r="S185" i="27"/>
  <c r="T185" i="27"/>
  <c r="U185" i="27"/>
  <c r="V185" i="27"/>
  <c r="W185" i="27"/>
  <c r="I183" i="27"/>
  <c r="J183" i="27"/>
  <c r="K183" i="27"/>
  <c r="L183" i="27"/>
  <c r="M183" i="27"/>
  <c r="N183" i="27"/>
  <c r="O183" i="27"/>
  <c r="P183" i="27"/>
  <c r="Q183" i="27"/>
  <c r="R183" i="27"/>
  <c r="S183" i="27"/>
  <c r="T183" i="27"/>
  <c r="U183" i="27"/>
  <c r="V183" i="27"/>
  <c r="W183" i="27"/>
  <c r="I179" i="27"/>
  <c r="J179" i="27"/>
  <c r="K179" i="27"/>
  <c r="L179" i="27"/>
  <c r="M179" i="27"/>
  <c r="N179" i="27"/>
  <c r="O179" i="27"/>
  <c r="P179" i="27"/>
  <c r="Q179" i="27"/>
  <c r="R179" i="27"/>
  <c r="S179" i="27"/>
  <c r="T179" i="27"/>
  <c r="U179" i="27"/>
  <c r="V179" i="27"/>
  <c r="W179" i="27"/>
  <c r="I181" i="27"/>
  <c r="J181" i="27"/>
  <c r="K181" i="27"/>
  <c r="L181" i="27"/>
  <c r="M181" i="27"/>
  <c r="N181" i="27"/>
  <c r="O181" i="27"/>
  <c r="P181" i="27"/>
  <c r="Q181" i="27"/>
  <c r="R181" i="27"/>
  <c r="S181" i="27"/>
  <c r="T181" i="27"/>
  <c r="U181" i="27"/>
  <c r="V181" i="27"/>
  <c r="W181" i="27"/>
  <c r="I178" i="27"/>
  <c r="J178" i="27"/>
  <c r="K178" i="27"/>
  <c r="L178" i="27"/>
  <c r="M178" i="27"/>
  <c r="N178" i="27"/>
  <c r="O178" i="27"/>
  <c r="P178" i="27"/>
  <c r="Q178" i="27"/>
  <c r="R178" i="27"/>
  <c r="S178" i="27"/>
  <c r="T178" i="27"/>
  <c r="U178" i="27"/>
  <c r="V178" i="27"/>
  <c r="W178" i="27"/>
  <c r="I177" i="27"/>
  <c r="J177" i="27"/>
  <c r="K177" i="27"/>
  <c r="L177" i="27"/>
  <c r="M177" i="27"/>
  <c r="N177" i="27"/>
  <c r="O177" i="27"/>
  <c r="P177" i="27"/>
  <c r="Q177" i="27"/>
  <c r="R177" i="27"/>
  <c r="S177" i="27"/>
  <c r="T177" i="27"/>
  <c r="U177" i="27"/>
  <c r="V177" i="27"/>
  <c r="W177" i="27"/>
  <c r="X181" i="27"/>
  <c r="X183" i="27"/>
  <c r="X177" i="27"/>
  <c r="X185" i="27"/>
  <c r="X178" i="27"/>
  <c r="X179" i="27"/>
  <c r="I268" i="27" l="1"/>
  <c r="J268" i="27"/>
  <c r="K268" i="27"/>
  <c r="L268" i="27"/>
  <c r="M268" i="27"/>
  <c r="N268" i="27"/>
  <c r="O268" i="27"/>
  <c r="P268" i="27"/>
  <c r="Q268" i="27"/>
  <c r="R268" i="27"/>
  <c r="S268" i="27"/>
  <c r="T268" i="27"/>
  <c r="U268" i="27"/>
  <c r="V268" i="27"/>
  <c r="W268" i="27"/>
  <c r="X268"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24" i="27"/>
  <c r="J224" i="27"/>
  <c r="K224" i="27"/>
  <c r="L224" i="27"/>
  <c r="M224" i="27"/>
  <c r="N224" i="27"/>
  <c r="O224" i="27"/>
  <c r="P224" i="27"/>
  <c r="Q224" i="27"/>
  <c r="R224" i="27"/>
  <c r="S224" i="27"/>
  <c r="T224" i="27"/>
  <c r="U224" i="27"/>
  <c r="V224" i="27"/>
  <c r="W224" i="27"/>
  <c r="W84" i="27"/>
  <c r="V84" i="27"/>
  <c r="U84" i="27"/>
  <c r="T84" i="27"/>
  <c r="S84" i="27"/>
  <c r="R84" i="27"/>
  <c r="Q84" i="27"/>
  <c r="P84" i="27"/>
  <c r="O84" i="27"/>
  <c r="N84" i="27"/>
  <c r="M84" i="27"/>
  <c r="L84" i="27"/>
  <c r="K84" i="27"/>
  <c r="J84" i="27"/>
  <c r="I84" i="27"/>
  <c r="I75" i="27"/>
  <c r="J75" i="27"/>
  <c r="K75" i="27"/>
  <c r="L75" i="27"/>
  <c r="M75" i="27"/>
  <c r="N75" i="27"/>
  <c r="O75" i="27"/>
  <c r="P75" i="27"/>
  <c r="Q75" i="27"/>
  <c r="R75" i="27"/>
  <c r="S75" i="27"/>
  <c r="T75" i="27"/>
  <c r="U75" i="27"/>
  <c r="V75" i="27"/>
  <c r="W75"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80" i="27"/>
  <c r="J80" i="27"/>
  <c r="K80" i="27"/>
  <c r="L80" i="27"/>
  <c r="M80" i="27"/>
  <c r="N80" i="27"/>
  <c r="O80" i="27"/>
  <c r="P80" i="27"/>
  <c r="Q80" i="27"/>
  <c r="R80" i="27"/>
  <c r="S80" i="27"/>
  <c r="T80" i="27"/>
  <c r="U80" i="27"/>
  <c r="V80" i="27"/>
  <c r="W80" i="27"/>
  <c r="I76" i="27"/>
  <c r="I77" i="27"/>
  <c r="J76" i="27"/>
  <c r="J77" i="27"/>
  <c r="K76" i="27"/>
  <c r="K77" i="27"/>
  <c r="L76" i="27"/>
  <c r="L77" i="27"/>
  <c r="M76" i="27"/>
  <c r="M77" i="27"/>
  <c r="N76" i="27"/>
  <c r="N77" i="27"/>
  <c r="O76" i="27"/>
  <c r="O77" i="27"/>
  <c r="P76" i="27"/>
  <c r="P77" i="27"/>
  <c r="Q76" i="27"/>
  <c r="Q77" i="27"/>
  <c r="R76" i="27"/>
  <c r="R77" i="27"/>
  <c r="S76" i="27"/>
  <c r="S77" i="27"/>
  <c r="T76" i="27"/>
  <c r="T77" i="27"/>
  <c r="U76" i="27"/>
  <c r="U77" i="27"/>
  <c r="V76" i="27"/>
  <c r="V77" i="27"/>
  <c r="W76" i="27"/>
  <c r="W77"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8" i="27"/>
  <c r="I79" i="27"/>
  <c r="J65" i="27"/>
  <c r="J66" i="27"/>
  <c r="J67" i="27"/>
  <c r="J70" i="27"/>
  <c r="J71" i="27"/>
  <c r="J72" i="27"/>
  <c r="J73" i="27"/>
  <c r="J78" i="27"/>
  <c r="J79" i="27"/>
  <c r="K65" i="27"/>
  <c r="K66" i="27"/>
  <c r="K67" i="27"/>
  <c r="K70" i="27"/>
  <c r="K71" i="27"/>
  <c r="K72" i="27"/>
  <c r="K73" i="27"/>
  <c r="K78" i="27"/>
  <c r="K79" i="27"/>
  <c r="L65" i="27"/>
  <c r="L66" i="27"/>
  <c r="L67" i="27"/>
  <c r="L70" i="27"/>
  <c r="L71" i="27"/>
  <c r="L72" i="27"/>
  <c r="L73" i="27"/>
  <c r="L78" i="27"/>
  <c r="L79" i="27"/>
  <c r="M65" i="27"/>
  <c r="M66" i="27"/>
  <c r="M67" i="27"/>
  <c r="M70" i="27"/>
  <c r="M71" i="27"/>
  <c r="M72" i="27"/>
  <c r="M73" i="27"/>
  <c r="M78" i="27"/>
  <c r="M79" i="27"/>
  <c r="N65" i="27"/>
  <c r="N66" i="27"/>
  <c r="N67" i="27"/>
  <c r="N70" i="27"/>
  <c r="N71" i="27"/>
  <c r="N72" i="27"/>
  <c r="N73" i="27"/>
  <c r="N78" i="27"/>
  <c r="N79" i="27"/>
  <c r="O65" i="27"/>
  <c r="O66" i="27"/>
  <c r="O67" i="27"/>
  <c r="O70" i="27"/>
  <c r="O71" i="27"/>
  <c r="O72" i="27"/>
  <c r="O73" i="27"/>
  <c r="O78" i="27"/>
  <c r="O79" i="27"/>
  <c r="P65" i="27"/>
  <c r="P66" i="27"/>
  <c r="P67" i="27"/>
  <c r="P70" i="27"/>
  <c r="P71" i="27"/>
  <c r="P72" i="27"/>
  <c r="P73" i="27"/>
  <c r="P78" i="27"/>
  <c r="P79" i="27"/>
  <c r="Q65" i="27"/>
  <c r="Q66" i="27"/>
  <c r="Q67" i="27"/>
  <c r="Q70" i="27"/>
  <c r="Q71" i="27"/>
  <c r="Q72" i="27"/>
  <c r="Q73" i="27"/>
  <c r="Q78" i="27"/>
  <c r="Q79" i="27"/>
  <c r="R65" i="27"/>
  <c r="R66" i="27"/>
  <c r="R67" i="27"/>
  <c r="R70" i="27"/>
  <c r="R71" i="27"/>
  <c r="R72" i="27"/>
  <c r="R73" i="27"/>
  <c r="R78" i="27"/>
  <c r="R79" i="27"/>
  <c r="S65" i="27"/>
  <c r="S66" i="27"/>
  <c r="S67" i="27"/>
  <c r="S70" i="27"/>
  <c r="S71" i="27"/>
  <c r="S72" i="27"/>
  <c r="S73" i="27"/>
  <c r="S78" i="27"/>
  <c r="S79" i="27"/>
  <c r="T65" i="27"/>
  <c r="T66" i="27"/>
  <c r="T67" i="27"/>
  <c r="T70" i="27"/>
  <c r="T71" i="27"/>
  <c r="T72" i="27"/>
  <c r="T73" i="27"/>
  <c r="T78" i="27"/>
  <c r="T79" i="27"/>
  <c r="U65" i="27"/>
  <c r="U66" i="27"/>
  <c r="U67" i="27"/>
  <c r="U70" i="27"/>
  <c r="U71" i="27"/>
  <c r="U72" i="27"/>
  <c r="U73" i="27"/>
  <c r="U78" i="27"/>
  <c r="U79" i="27"/>
  <c r="V65" i="27"/>
  <c r="V66" i="27"/>
  <c r="V67" i="27"/>
  <c r="V70" i="27"/>
  <c r="V71" i="27"/>
  <c r="V72" i="27"/>
  <c r="V73" i="27"/>
  <c r="V78" i="27"/>
  <c r="V79" i="27"/>
  <c r="W65" i="27"/>
  <c r="W66" i="27"/>
  <c r="W67" i="27"/>
  <c r="W70" i="27"/>
  <c r="W71" i="27"/>
  <c r="W72" i="27"/>
  <c r="W73" i="27"/>
  <c r="W78" i="27"/>
  <c r="W79" i="27"/>
  <c r="X80" i="27"/>
  <c r="X66" i="27"/>
  <c r="X51" i="27"/>
  <c r="X60" i="27"/>
  <c r="X71" i="27"/>
  <c r="X63" i="27"/>
  <c r="X64" i="27"/>
  <c r="X69" i="27"/>
  <c r="X58" i="27"/>
  <c r="X65" i="27"/>
  <c r="X56" i="27"/>
  <c r="X77" i="27"/>
  <c r="X68" i="27"/>
  <c r="X73" i="27"/>
  <c r="X76" i="27"/>
  <c r="X75" i="27"/>
  <c r="X78" i="27"/>
  <c r="X62" i="27"/>
  <c r="X61" i="27"/>
  <c r="X72" i="27"/>
  <c r="X79" i="27"/>
  <c r="X84" i="27"/>
  <c r="X67" i="27"/>
  <c r="X55" i="27"/>
  <c r="X224" i="27"/>
  <c r="X59" i="27"/>
  <c r="X70"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3" i="27"/>
  <c r="J113" i="27"/>
  <c r="K113" i="27"/>
  <c r="L113" i="27"/>
  <c r="M113" i="27"/>
  <c r="N113" i="27"/>
  <c r="O113" i="27"/>
  <c r="P113" i="27"/>
  <c r="Q113" i="27"/>
  <c r="R113" i="27"/>
  <c r="S113" i="27"/>
  <c r="T113" i="27"/>
  <c r="U113" i="27"/>
  <c r="V113" i="27"/>
  <c r="W113"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52" i="27"/>
  <c r="X32" i="27"/>
  <c r="X20" i="27"/>
  <c r="X113" i="27"/>
  <c r="X34" i="27"/>
  <c r="X35" i="27"/>
  <c r="X46" i="27"/>
  <c r="X45" i="27"/>
  <c r="X33" i="27"/>
  <c r="I115" i="27" l="1"/>
  <c r="J115" i="27"/>
  <c r="K115" i="27"/>
  <c r="L115" i="27"/>
  <c r="M115" i="27"/>
  <c r="N115" i="27"/>
  <c r="O115" i="27"/>
  <c r="P115" i="27"/>
  <c r="Q115" i="27"/>
  <c r="R115" i="27"/>
  <c r="S115" i="27"/>
  <c r="T115" i="27"/>
  <c r="U115" i="27"/>
  <c r="V115" i="27"/>
  <c r="W115" i="27"/>
  <c r="I114" i="27"/>
  <c r="J114" i="27"/>
  <c r="K114" i="27"/>
  <c r="L114" i="27"/>
  <c r="M114" i="27"/>
  <c r="N114" i="27"/>
  <c r="O114" i="27"/>
  <c r="P114" i="27"/>
  <c r="Q114" i="27"/>
  <c r="R114" i="27"/>
  <c r="S114" i="27"/>
  <c r="T114" i="27"/>
  <c r="U114" i="27"/>
  <c r="V114" i="27"/>
  <c r="W114" i="27"/>
  <c r="I213" i="27"/>
  <c r="J213" i="27"/>
  <c r="K213" i="27"/>
  <c r="L213" i="27"/>
  <c r="M213" i="27"/>
  <c r="N213" i="27"/>
  <c r="O213" i="27"/>
  <c r="P213" i="27"/>
  <c r="Q213" i="27"/>
  <c r="R213" i="27"/>
  <c r="S213" i="27"/>
  <c r="T213" i="27"/>
  <c r="U213" i="27"/>
  <c r="V213" i="27"/>
  <c r="W2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X114" i="27"/>
  <c r="X115" i="27"/>
  <c r="X213" i="27"/>
  <c r="X211" i="27"/>
  <c r="X212" i="27"/>
  <c r="I325" i="27" l="1"/>
  <c r="J325" i="27"/>
  <c r="K325" i="27"/>
  <c r="L325" i="27"/>
  <c r="M325" i="27"/>
  <c r="N325" i="27"/>
  <c r="O325" i="27"/>
  <c r="P325" i="27"/>
  <c r="Q325" i="27"/>
  <c r="R325" i="27"/>
  <c r="S325" i="27"/>
  <c r="T325" i="27"/>
  <c r="U325" i="27"/>
  <c r="V325" i="27"/>
  <c r="W325" i="27"/>
  <c r="X325" i="27"/>
  <c r="I31" i="27" l="1"/>
  <c r="J31" i="27"/>
  <c r="K31" i="27"/>
  <c r="L31" i="27"/>
  <c r="M31" i="27"/>
  <c r="N31" i="27"/>
  <c r="O31" i="27"/>
  <c r="P31" i="27"/>
  <c r="Q31" i="27"/>
  <c r="R31" i="27"/>
  <c r="S31" i="27"/>
  <c r="T31" i="27"/>
  <c r="U31" i="27"/>
  <c r="V31" i="27"/>
  <c r="W31" i="27"/>
  <c r="I230" i="27"/>
  <c r="J230" i="27"/>
  <c r="K230" i="27"/>
  <c r="L230" i="27"/>
  <c r="M230" i="27"/>
  <c r="N230" i="27"/>
  <c r="O230" i="27"/>
  <c r="P230" i="27"/>
  <c r="Q230" i="27"/>
  <c r="R230" i="27"/>
  <c r="S230" i="27"/>
  <c r="T230" i="27"/>
  <c r="U230" i="27"/>
  <c r="V230" i="27"/>
  <c r="W230" i="27"/>
  <c r="X31" i="27"/>
  <c r="X230" i="27"/>
  <c r="I195" i="27" l="1"/>
  <c r="J195" i="27"/>
  <c r="K195" i="27"/>
  <c r="L195" i="27"/>
  <c r="M195" i="27"/>
  <c r="N195" i="27"/>
  <c r="O195" i="27"/>
  <c r="P195" i="27"/>
  <c r="Q195" i="27"/>
  <c r="R195" i="27"/>
  <c r="S195" i="27"/>
  <c r="T195" i="27"/>
  <c r="U195" i="27"/>
  <c r="V195" i="27"/>
  <c r="W195" i="27"/>
  <c r="I305" i="27"/>
  <c r="J305" i="27"/>
  <c r="K305" i="27"/>
  <c r="L305" i="27"/>
  <c r="M305" i="27"/>
  <c r="N305" i="27"/>
  <c r="O305" i="27"/>
  <c r="P305" i="27"/>
  <c r="Q305" i="27"/>
  <c r="R305" i="27"/>
  <c r="S305" i="27"/>
  <c r="T305" i="27"/>
  <c r="U305" i="27"/>
  <c r="V305" i="27"/>
  <c r="W305" i="27"/>
  <c r="W309" i="27"/>
  <c r="V309" i="27"/>
  <c r="U309" i="27"/>
  <c r="T309" i="27"/>
  <c r="S309" i="27"/>
  <c r="R309" i="27"/>
  <c r="Q309" i="27"/>
  <c r="P309" i="27"/>
  <c r="O309" i="27"/>
  <c r="N309" i="27"/>
  <c r="M309" i="27"/>
  <c r="L309" i="27"/>
  <c r="K309" i="27"/>
  <c r="J309" i="27"/>
  <c r="I309" i="27"/>
  <c r="W308" i="27"/>
  <c r="V308" i="27"/>
  <c r="U308" i="27"/>
  <c r="T308" i="27"/>
  <c r="S308" i="27"/>
  <c r="R308" i="27"/>
  <c r="Q308" i="27"/>
  <c r="P308" i="27"/>
  <c r="O308" i="27"/>
  <c r="N308" i="27"/>
  <c r="M308" i="27"/>
  <c r="L308" i="27"/>
  <c r="K308" i="27"/>
  <c r="J308" i="27"/>
  <c r="I308" i="27"/>
  <c r="I298" i="27"/>
  <c r="J298" i="27"/>
  <c r="K298" i="27"/>
  <c r="L298" i="27"/>
  <c r="M298" i="27"/>
  <c r="N298" i="27"/>
  <c r="O298" i="27"/>
  <c r="P298" i="27"/>
  <c r="Q298" i="27"/>
  <c r="R298" i="27"/>
  <c r="S298" i="27"/>
  <c r="T298" i="27"/>
  <c r="U298" i="27"/>
  <c r="V298" i="27"/>
  <c r="W298" i="27"/>
  <c r="I291" i="27"/>
  <c r="J291" i="27"/>
  <c r="K291" i="27"/>
  <c r="L291" i="27"/>
  <c r="M291" i="27"/>
  <c r="N291" i="27"/>
  <c r="O291" i="27"/>
  <c r="P291" i="27"/>
  <c r="Q291" i="27"/>
  <c r="R291" i="27"/>
  <c r="S291" i="27"/>
  <c r="T291" i="27"/>
  <c r="U291" i="27"/>
  <c r="V291" i="27"/>
  <c r="W291" i="27"/>
  <c r="I283" i="27"/>
  <c r="J283" i="27"/>
  <c r="K283" i="27"/>
  <c r="L283" i="27"/>
  <c r="M283" i="27"/>
  <c r="N283" i="27"/>
  <c r="O283" i="27"/>
  <c r="P283" i="27"/>
  <c r="Q283" i="27"/>
  <c r="R283" i="27"/>
  <c r="S283" i="27"/>
  <c r="T283" i="27"/>
  <c r="U283" i="27"/>
  <c r="V283" i="27"/>
  <c r="W283" i="27"/>
  <c r="I210" i="27"/>
  <c r="J210" i="27"/>
  <c r="K210" i="27"/>
  <c r="L210" i="27"/>
  <c r="M210" i="27"/>
  <c r="N210" i="27"/>
  <c r="O210" i="27"/>
  <c r="P210" i="27"/>
  <c r="Q210" i="27"/>
  <c r="R210" i="27"/>
  <c r="S210" i="27"/>
  <c r="T210" i="27"/>
  <c r="U210" i="27"/>
  <c r="V210" i="27"/>
  <c r="W210" i="27"/>
  <c r="I116" i="27"/>
  <c r="J116" i="27"/>
  <c r="K116" i="27"/>
  <c r="L116" i="27"/>
  <c r="M116" i="27"/>
  <c r="N116" i="27"/>
  <c r="O116" i="27"/>
  <c r="P116" i="27"/>
  <c r="Q116" i="27"/>
  <c r="R116" i="27"/>
  <c r="S116" i="27"/>
  <c r="T116" i="27"/>
  <c r="U116" i="27"/>
  <c r="V116" i="27"/>
  <c r="W116" i="27"/>
  <c r="I38" i="27"/>
  <c r="J38" i="27"/>
  <c r="K38" i="27"/>
  <c r="L38" i="27"/>
  <c r="M38" i="27"/>
  <c r="N38" i="27"/>
  <c r="O38" i="27"/>
  <c r="P38" i="27"/>
  <c r="Q38" i="27"/>
  <c r="R38" i="27"/>
  <c r="S38" i="27"/>
  <c r="T38" i="27"/>
  <c r="U38" i="27"/>
  <c r="V38" i="27"/>
  <c r="W3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6" i="27"/>
  <c r="J6" i="27"/>
  <c r="K6" i="27"/>
  <c r="L6" i="27"/>
  <c r="M6" i="27"/>
  <c r="N6" i="27"/>
  <c r="O6" i="27"/>
  <c r="P6" i="27"/>
  <c r="Q6" i="27"/>
  <c r="R6" i="27"/>
  <c r="S6" i="27"/>
  <c r="T6" i="27"/>
  <c r="U6" i="27"/>
  <c r="V6" i="27"/>
  <c r="W6" i="27"/>
  <c r="X210" i="27"/>
  <c r="X308" i="27"/>
  <c r="X116" i="27"/>
  <c r="X298" i="27"/>
  <c r="X305" i="27"/>
  <c r="X309" i="27"/>
  <c r="X99" i="27"/>
  <c r="X38" i="27"/>
  <c r="X6" i="27"/>
  <c r="X283" i="27"/>
  <c r="X100" i="27"/>
  <c r="X291" i="27"/>
  <c r="X195"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5" i="27"/>
  <c r="J85" i="27"/>
  <c r="K85" i="27"/>
  <c r="L85" i="27"/>
  <c r="M85" i="27"/>
  <c r="N85" i="27"/>
  <c r="O85" i="27"/>
  <c r="P85" i="27"/>
  <c r="Q85" i="27"/>
  <c r="R85" i="27"/>
  <c r="S85" i="27"/>
  <c r="T85" i="27"/>
  <c r="U85" i="27"/>
  <c r="V85" i="27"/>
  <c r="W85"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96" i="27"/>
  <c r="J96" i="27"/>
  <c r="K96" i="27"/>
  <c r="L96" i="27"/>
  <c r="M96" i="27"/>
  <c r="N96" i="27"/>
  <c r="O96" i="27"/>
  <c r="P96" i="27"/>
  <c r="Q96" i="27"/>
  <c r="R96" i="27"/>
  <c r="S96" i="27"/>
  <c r="T96" i="27"/>
  <c r="U96" i="27"/>
  <c r="V96" i="27"/>
  <c r="W96" i="27"/>
  <c r="I98" i="27"/>
  <c r="J98" i="27"/>
  <c r="K98" i="27"/>
  <c r="L98" i="27"/>
  <c r="M98" i="27"/>
  <c r="N98" i="27"/>
  <c r="O98" i="27"/>
  <c r="P98" i="27"/>
  <c r="Q98" i="27"/>
  <c r="R98" i="27"/>
  <c r="S98" i="27"/>
  <c r="T98" i="27"/>
  <c r="U98" i="27"/>
  <c r="V98" i="27"/>
  <c r="W98"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V208" i="27"/>
  <c r="I208" i="27"/>
  <c r="J208" i="27"/>
  <c r="K208" i="27"/>
  <c r="L208" i="27"/>
  <c r="M208" i="27"/>
  <c r="N208" i="27"/>
  <c r="O208" i="27"/>
  <c r="P208" i="27"/>
  <c r="Q208" i="27"/>
  <c r="R208" i="27"/>
  <c r="S208" i="27"/>
  <c r="T208" i="27"/>
  <c r="U208" i="27"/>
  <c r="W208" i="27"/>
  <c r="I209" i="27"/>
  <c r="J209" i="27"/>
  <c r="K209" i="27"/>
  <c r="L209" i="27"/>
  <c r="M209" i="27"/>
  <c r="N209" i="27"/>
  <c r="O209" i="27"/>
  <c r="P209" i="27"/>
  <c r="Q209" i="27"/>
  <c r="R209" i="27"/>
  <c r="S209" i="27"/>
  <c r="T209" i="27"/>
  <c r="U209" i="27"/>
  <c r="V209" i="27"/>
  <c r="W209"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43" i="27"/>
  <c r="J243" i="27"/>
  <c r="K243" i="27"/>
  <c r="L243" i="27"/>
  <c r="M243" i="27"/>
  <c r="N243" i="27"/>
  <c r="O243" i="27"/>
  <c r="P243" i="27"/>
  <c r="Q243" i="27"/>
  <c r="R243" i="27"/>
  <c r="S243" i="27"/>
  <c r="T243" i="27"/>
  <c r="U243" i="27"/>
  <c r="V243" i="27"/>
  <c r="W243" i="27"/>
  <c r="V244" i="27"/>
  <c r="I244" i="27"/>
  <c r="J244" i="27"/>
  <c r="K244" i="27"/>
  <c r="L244" i="27"/>
  <c r="M244" i="27"/>
  <c r="N244" i="27"/>
  <c r="O244" i="27"/>
  <c r="P244" i="27"/>
  <c r="Q244" i="27"/>
  <c r="R244" i="27"/>
  <c r="S244" i="27"/>
  <c r="T244" i="27"/>
  <c r="U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V255" i="27"/>
  <c r="I255" i="27"/>
  <c r="J255" i="27"/>
  <c r="K255" i="27"/>
  <c r="L255" i="27"/>
  <c r="M255" i="27"/>
  <c r="N255" i="27"/>
  <c r="O255" i="27"/>
  <c r="P255" i="27"/>
  <c r="Q255" i="27"/>
  <c r="R255" i="27"/>
  <c r="S255" i="27"/>
  <c r="T255" i="27"/>
  <c r="U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V263" i="27"/>
  <c r="I263" i="27"/>
  <c r="J263" i="27"/>
  <c r="K263" i="27"/>
  <c r="L263" i="27"/>
  <c r="M263" i="27"/>
  <c r="N263" i="27"/>
  <c r="O263" i="27"/>
  <c r="P263" i="27"/>
  <c r="Q263" i="27"/>
  <c r="R263" i="27"/>
  <c r="S263" i="27"/>
  <c r="T263" i="27"/>
  <c r="U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9" i="27"/>
  <c r="J269" i="27"/>
  <c r="K269" i="27"/>
  <c r="L269" i="27"/>
  <c r="M269" i="27"/>
  <c r="N269" i="27"/>
  <c r="O269" i="27"/>
  <c r="P269" i="27"/>
  <c r="Q269" i="27"/>
  <c r="R269" i="27"/>
  <c r="S269" i="27"/>
  <c r="T269" i="27"/>
  <c r="U269" i="27"/>
  <c r="V269" i="27"/>
  <c r="W269" i="27"/>
  <c r="V270" i="27"/>
  <c r="I270" i="27"/>
  <c r="J270" i="27"/>
  <c r="K270" i="27"/>
  <c r="L270" i="27"/>
  <c r="M270" i="27"/>
  <c r="N270" i="27"/>
  <c r="O270" i="27"/>
  <c r="P270" i="27"/>
  <c r="Q270" i="27"/>
  <c r="R270" i="27"/>
  <c r="S270" i="27"/>
  <c r="T270" i="27"/>
  <c r="U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2" i="27"/>
  <c r="J282" i="27"/>
  <c r="K282" i="27"/>
  <c r="L282" i="27"/>
  <c r="M282" i="27"/>
  <c r="N282" i="27"/>
  <c r="O282" i="27"/>
  <c r="P282" i="27"/>
  <c r="Q282" i="27"/>
  <c r="R282" i="27"/>
  <c r="S282" i="27"/>
  <c r="T282" i="27"/>
  <c r="U282" i="27"/>
  <c r="V282" i="27"/>
  <c r="W282"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V288" i="27"/>
  <c r="I288" i="27"/>
  <c r="J288" i="27"/>
  <c r="K288" i="27"/>
  <c r="L288" i="27"/>
  <c r="M288" i="27"/>
  <c r="N288" i="27"/>
  <c r="O288" i="27"/>
  <c r="P288" i="27"/>
  <c r="Q288" i="27"/>
  <c r="R288" i="27"/>
  <c r="S288" i="27"/>
  <c r="T288" i="27"/>
  <c r="U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6" i="27"/>
  <c r="J326" i="27"/>
  <c r="K326" i="27"/>
  <c r="L326" i="27"/>
  <c r="M326" i="27"/>
  <c r="N326" i="27"/>
  <c r="O326" i="27"/>
  <c r="P326" i="27"/>
  <c r="Q326" i="27"/>
  <c r="R326" i="27"/>
  <c r="S326" i="27"/>
  <c r="T326" i="27"/>
  <c r="U326" i="27"/>
  <c r="V326" i="27"/>
  <c r="W326" i="27"/>
  <c r="V327" i="27"/>
  <c r="I327" i="27"/>
  <c r="J327" i="27"/>
  <c r="K327" i="27"/>
  <c r="L327" i="27"/>
  <c r="M327" i="27"/>
  <c r="N327" i="27"/>
  <c r="O327" i="27"/>
  <c r="P327" i="27"/>
  <c r="Q327" i="27"/>
  <c r="R327" i="27"/>
  <c r="S327" i="27"/>
  <c r="T327" i="27"/>
  <c r="U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V332" i="27"/>
  <c r="I332" i="27"/>
  <c r="J332" i="27"/>
  <c r="K332" i="27"/>
  <c r="L332" i="27"/>
  <c r="M332" i="27"/>
  <c r="N332" i="27"/>
  <c r="O332" i="27"/>
  <c r="P332" i="27"/>
  <c r="Q332" i="27"/>
  <c r="R332" i="27"/>
  <c r="S332" i="27"/>
  <c r="T332" i="27"/>
  <c r="U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V342" i="27"/>
  <c r="I342" i="27"/>
  <c r="J342" i="27"/>
  <c r="K342" i="27"/>
  <c r="L342" i="27"/>
  <c r="M342" i="27"/>
  <c r="N342" i="27"/>
  <c r="O342" i="27"/>
  <c r="P342" i="27"/>
  <c r="Q342" i="27"/>
  <c r="R342" i="27"/>
  <c r="S342" i="27"/>
  <c r="T342" i="27"/>
  <c r="U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I348" i="27"/>
  <c r="J348" i="27"/>
  <c r="K348" i="27"/>
  <c r="L348" i="27"/>
  <c r="M348" i="27"/>
  <c r="N348" i="27"/>
  <c r="O348" i="27"/>
  <c r="P348" i="27"/>
  <c r="Q348" i="27"/>
  <c r="R348" i="27"/>
  <c r="S348" i="27"/>
  <c r="T348" i="27"/>
  <c r="U348" i="27"/>
  <c r="V348" i="27"/>
  <c r="W348" i="27"/>
  <c r="I349" i="27"/>
  <c r="J349" i="27"/>
  <c r="K349" i="27"/>
  <c r="L349" i="27"/>
  <c r="M349" i="27"/>
  <c r="N349" i="27"/>
  <c r="O349" i="27"/>
  <c r="P349" i="27"/>
  <c r="Q349" i="27"/>
  <c r="R349" i="27"/>
  <c r="S349" i="27"/>
  <c r="T349" i="27"/>
  <c r="U349" i="27"/>
  <c r="V349" i="27"/>
  <c r="W349" i="27"/>
  <c r="I350" i="27"/>
  <c r="J350" i="27"/>
  <c r="K350" i="27"/>
  <c r="L350" i="27"/>
  <c r="M350" i="27"/>
  <c r="N350" i="27"/>
  <c r="O350" i="27"/>
  <c r="P350" i="27"/>
  <c r="Q350" i="27"/>
  <c r="R350" i="27"/>
  <c r="S350" i="27"/>
  <c r="T350" i="27"/>
  <c r="U350" i="27"/>
  <c r="V350" i="27"/>
  <c r="W350" i="27"/>
  <c r="I351" i="27"/>
  <c r="J351" i="27"/>
  <c r="K351" i="27"/>
  <c r="L351" i="27"/>
  <c r="M351" i="27"/>
  <c r="N351" i="27"/>
  <c r="O351" i="27"/>
  <c r="P351" i="27"/>
  <c r="Q351" i="27"/>
  <c r="R351" i="27"/>
  <c r="S351" i="27"/>
  <c r="T351" i="27"/>
  <c r="U351" i="27"/>
  <c r="V351" i="27"/>
  <c r="W351" i="27"/>
  <c r="I352" i="27"/>
  <c r="J352" i="27"/>
  <c r="K352" i="27"/>
  <c r="L352" i="27"/>
  <c r="M352" i="27"/>
  <c r="N352" i="27"/>
  <c r="O352" i="27"/>
  <c r="P352" i="27"/>
  <c r="Q352" i="27"/>
  <c r="R352" i="27"/>
  <c r="S352" i="27"/>
  <c r="T352" i="27"/>
  <c r="U352" i="27"/>
  <c r="V352" i="27"/>
  <c r="W352" i="27"/>
  <c r="I353" i="27"/>
  <c r="J353" i="27"/>
  <c r="K353" i="27"/>
  <c r="L353" i="27"/>
  <c r="M353" i="27"/>
  <c r="N353" i="27"/>
  <c r="O353" i="27"/>
  <c r="P353" i="27"/>
  <c r="Q353" i="27"/>
  <c r="R353" i="27"/>
  <c r="S353" i="27"/>
  <c r="T353" i="27"/>
  <c r="U353" i="27"/>
  <c r="V353" i="27"/>
  <c r="W353" i="27"/>
  <c r="I354" i="27"/>
  <c r="J354" i="27"/>
  <c r="K354" i="27"/>
  <c r="L354" i="27"/>
  <c r="M354" i="27"/>
  <c r="N354" i="27"/>
  <c r="O354" i="27"/>
  <c r="P354" i="27"/>
  <c r="Q354" i="27"/>
  <c r="R354" i="27"/>
  <c r="S354" i="27"/>
  <c r="T354" i="27"/>
  <c r="U354" i="27"/>
  <c r="V354" i="27"/>
  <c r="W354" i="27"/>
  <c r="Y375"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33" i="27"/>
  <c r="X207" i="27"/>
  <c r="X103" i="27"/>
  <c r="X48" i="27"/>
  <c r="X287" i="27"/>
  <c r="X37" i="27"/>
  <c r="X89" i="27"/>
  <c r="X12" i="27"/>
  <c r="X94" i="27"/>
  <c r="X264" i="27"/>
  <c r="X150" i="27"/>
  <c r="X281" i="27"/>
  <c r="X254" i="27"/>
  <c r="X102" i="27"/>
  <c r="X173" i="27"/>
  <c r="X350" i="27"/>
  <c r="X87" i="27"/>
  <c r="X294" i="27"/>
  <c r="X340" i="27"/>
  <c r="X221" i="27"/>
  <c r="X143" i="27"/>
  <c r="X329" i="27"/>
  <c r="X206" i="27"/>
  <c r="X333" i="27"/>
  <c r="X98" i="27"/>
  <c r="X16" i="27"/>
  <c r="X105" i="27"/>
  <c r="X39" i="27"/>
  <c r="X344" i="27"/>
  <c r="X261" i="27"/>
  <c r="X121" i="27"/>
  <c r="X319" i="27"/>
  <c r="X42" i="27"/>
  <c r="X304" i="27"/>
  <c r="X257" i="27"/>
  <c r="X160" i="27"/>
  <c r="X345" i="27"/>
  <c r="X347" i="27"/>
  <c r="X228" i="27"/>
  <c r="X154" i="27"/>
  <c r="X124" i="27"/>
  <c r="X316" i="27"/>
  <c r="X327" i="27"/>
  <c r="X199" i="27"/>
  <c r="X249" i="27"/>
  <c r="X21" i="27"/>
  <c r="X158" i="27"/>
  <c r="X81" i="27"/>
  <c r="X328" i="27"/>
  <c r="X15" i="27"/>
  <c r="X314" i="27"/>
  <c r="X111" i="27"/>
  <c r="X3" i="27"/>
  <c r="X209" i="27"/>
  <c r="X141" i="27"/>
  <c r="X41" i="27"/>
  <c r="X5" i="27"/>
  <c r="X120" i="27"/>
  <c r="X292" i="27"/>
  <c r="X312" i="27"/>
  <c r="X193" i="27"/>
  <c r="X119" i="27"/>
  <c r="X306" i="27"/>
  <c r="X284" i="27"/>
  <c r="X311" i="27"/>
  <c r="X194" i="27"/>
  <c r="X300" i="27"/>
  <c r="X175" i="27"/>
  <c r="X234" i="27"/>
  <c r="X226" i="27"/>
  <c r="X95" i="27"/>
  <c r="X13" i="27"/>
  <c r="X85" i="27"/>
  <c r="X290" i="27"/>
  <c r="X18" i="27"/>
  <c r="X246" i="27"/>
  <c r="X200" i="27"/>
  <c r="X320" i="27"/>
  <c r="X318" i="27"/>
  <c r="X301" i="27"/>
  <c r="X92" i="27"/>
  <c r="X326" i="27"/>
  <c r="X225" i="27"/>
  <c r="X244" i="27"/>
  <c r="X341" i="27"/>
  <c r="X324" i="27"/>
  <c r="X118" i="27"/>
  <c r="X83" i="27"/>
  <c r="X40" i="27"/>
  <c r="X176" i="27"/>
  <c r="X145" i="27"/>
  <c r="X90" i="27"/>
  <c r="X49" i="27"/>
  <c r="X148" i="27"/>
  <c r="X299" i="27"/>
  <c r="X112" i="27"/>
  <c r="X343" i="27"/>
  <c r="X297" i="27"/>
  <c r="X108" i="27"/>
  <c r="X272" i="27"/>
  <c r="X349" i="27"/>
  <c r="X336" i="27"/>
  <c r="X128" i="27"/>
  <c r="X354" i="27"/>
  <c r="X138" i="27"/>
  <c r="X53" i="27"/>
  <c r="X253" i="27"/>
  <c r="X47" i="27"/>
  <c r="X258" i="27"/>
  <c r="X159" i="27"/>
  <c r="X232" i="27"/>
  <c r="X302" i="27"/>
  <c r="X88" i="27"/>
  <c r="X339" i="27"/>
  <c r="X130" i="27"/>
  <c r="X24" i="27"/>
  <c r="X198" i="27"/>
  <c r="X25" i="27"/>
  <c r="X110" i="27"/>
  <c r="X126" i="27"/>
  <c r="X222" i="27"/>
  <c r="X270" i="27"/>
  <c r="X285" i="27"/>
  <c r="X201" i="27"/>
  <c r="X247" i="27"/>
  <c r="X149" i="27"/>
  <c r="X223" i="27"/>
  <c r="X109" i="27"/>
  <c r="X172" i="27"/>
  <c r="X313" i="27"/>
  <c r="X140" i="27"/>
  <c r="X27" i="27"/>
  <c r="X36" i="27"/>
  <c r="X135" i="27"/>
  <c r="X157" i="27"/>
  <c r="X125" i="27"/>
  <c r="X262" i="27"/>
  <c r="X251" i="27"/>
  <c r="X127" i="27"/>
  <c r="X23" i="27"/>
  <c r="X96" i="27"/>
  <c r="X122" i="27"/>
  <c r="X208" i="27"/>
  <c r="X142" i="27"/>
  <c r="X243" i="27"/>
  <c r="X288" i="27"/>
  <c r="X307" i="27"/>
  <c r="X57" i="27"/>
  <c r="X317" i="27"/>
  <c r="X139" i="27"/>
  <c r="X250" i="27"/>
  <c r="X271" i="27"/>
  <c r="X248" i="27"/>
  <c r="X146" i="27"/>
  <c r="X353" i="27"/>
  <c r="X107" i="27"/>
  <c r="X269" i="27"/>
  <c r="X282" i="27"/>
  <c r="X322" i="27"/>
  <c r="X289" i="27"/>
  <c r="X321" i="27"/>
  <c r="X330" i="27"/>
  <c r="X296" i="27"/>
  <c r="X334" i="27"/>
  <c r="X14" i="27"/>
  <c r="X54" i="27"/>
  <c r="X151" i="27"/>
  <c r="X259" i="27"/>
  <c r="X97" i="27"/>
  <c r="X265" i="27"/>
  <c r="X117" i="27"/>
  <c r="X93" i="27"/>
  <c r="X303" i="27"/>
  <c r="X91" i="27"/>
  <c r="X133" i="27"/>
  <c r="X22" i="27"/>
  <c r="X9" i="27"/>
  <c r="X101" i="27"/>
  <c r="X229" i="27"/>
  <c r="X136" i="27"/>
  <c r="X279" i="27"/>
  <c r="X277" i="27"/>
  <c r="X104" i="27"/>
  <c r="X202" i="27"/>
  <c r="X335" i="27"/>
  <c r="X187" i="27"/>
  <c r="X203" i="27"/>
  <c r="X43" i="27"/>
  <c r="X129" i="27"/>
  <c r="X190" i="27"/>
  <c r="X256" i="27"/>
  <c r="X245" i="27"/>
  <c r="X252" i="27"/>
  <c r="X352" i="27"/>
  <c r="X2" i="27"/>
  <c r="X295" i="27"/>
  <c r="X255" i="27"/>
  <c r="X310" i="27"/>
  <c r="X196" i="27"/>
  <c r="X235" i="27"/>
  <c r="X331" i="27"/>
  <c r="X11" i="27"/>
  <c r="X147" i="27"/>
  <c r="X189" i="27"/>
  <c r="X134" i="27"/>
  <c r="X106" i="27"/>
  <c r="X274" i="27"/>
  <c r="X280" i="27"/>
  <c r="X161" i="27"/>
  <c r="X273" i="27"/>
  <c r="X19" i="27"/>
  <c r="X155" i="27"/>
  <c r="X351" i="27"/>
  <c r="X50" i="27"/>
  <c r="X144" i="27"/>
  <c r="X29" i="27"/>
  <c r="X188" i="27"/>
  <c r="X131" i="27"/>
  <c r="X44" i="27"/>
  <c r="X26" i="27"/>
  <c r="X342" i="27"/>
  <c r="X275" i="27"/>
  <c r="X227" i="27"/>
  <c r="X266" i="27"/>
  <c r="X337" i="27"/>
  <c r="X8" i="27"/>
  <c r="X17" i="27"/>
  <c r="X278" i="27"/>
  <c r="X153" i="27"/>
  <c r="X191" i="27"/>
  <c r="X346" i="27"/>
  <c r="X123" i="27"/>
  <c r="X231" i="27"/>
  <c r="X156" i="27"/>
  <c r="X348" i="27"/>
  <c r="X82" i="27"/>
  <c r="X260" i="27"/>
  <c r="X132" i="27"/>
  <c r="X4" i="27"/>
  <c r="X323" i="27"/>
  <c r="X263" i="27"/>
  <c r="X315" i="27"/>
  <c r="X293" i="27"/>
  <c r="X338" i="27"/>
  <c r="X286" i="27"/>
  <c r="X192" i="27"/>
  <c r="X137" i="27"/>
  <c r="X152" i="27"/>
  <c r="X332" i="27"/>
  <c r="X276" i="27"/>
  <c r="X197" i="27"/>
</calcChain>
</file>

<file path=xl/sharedStrings.xml><?xml version="1.0" encoding="utf-8"?>
<sst xmlns="http://schemas.openxmlformats.org/spreadsheetml/2006/main" count="2261" uniqueCount="632">
  <si>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</si>
  <si>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</si>
  <si>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</si>
  <si>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</si>
  <si>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</si>
  <si>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</si>
  <si>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</si>
  <si>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</si>
  <si>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</si>
  <si>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</si>
  <si>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</si>
  <si>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</si>
  <si>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</si>
  <si>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</si>
  <si>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</si>
  <si>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</si>
  <si>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</si>
  <si>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</si>
  <si>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</si>
  <si>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</si>
  <si>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</si>
  <si>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</si>
  <si>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</si>
  <si>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</si>
  <si>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</si>
  <si>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</si>
  <si>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</si>
  <si>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</si>
  <si>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</si>
  <si>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</si>
  <si>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</si>
  <si>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</si>
  <si>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</si>
  <si>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</si>
  <si>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</si>
  <si>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</si>
  <si>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</si>
  <si>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</si>
  <si>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</si>
  <si>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</si>
  <si>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</si>
  <si>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</si>
  <si>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</si>
  <si>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</si>
  <si>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</si>
  <si>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</si>
  <si>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</si>
  <si>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</si>
  <si>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</si>
  <si>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</si>
  <si>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</si>
  <si>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</si>
  <si>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</si>
  <si>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</si>
  <si>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</si>
  <si>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</si>
  <si>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</si>
  <si>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</si>
  <si>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</si>
  <si>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</si>
  <si>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</si>
  <si>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</si>
  <si>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</si>
  <si>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</si>
  <si>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</si>
  <si>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</si>
  <si>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</si>
  <si>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</si>
  <si>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</si>
  <si>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</si>
  <si>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</si>
  <si>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</si>
  <si>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</si>
  <si>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</si>
  <si>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</si>
  <si>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</si>
  <si>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</si>
  <si>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</si>
  <si>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</si>
  <si>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</si>
  <si>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</si>
  <si>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</si>
  <si>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</si>
  <si>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</si>
  <si>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</si>
  <si>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</si>
  <si>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</si>
  <si>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</si>
  <si>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</si>
  <si>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</si>
  <si>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</si>
  <si>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</si>
  <si>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</si>
  <si>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</si>
  <si>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</si>
  <si>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</si>
  <si>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</si>
  <si>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</si>
  <si>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</si>
  <si>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</si>
  <si>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</si>
  <si>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</si>
  <si>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</si>
  <si>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</si>
  <si>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</si>
  <si>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</si>
  <si>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</si>
  <si>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</si>
  <si>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</si>
  <si>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</si>
  <si>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</si>
  <si>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</si>
  <si>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</si>
  <si>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</si>
  <si>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</si>
  <si>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</si>
  <si>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</si>
  <si>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</si>
  <si>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</si>
  <si>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</si>
  <si>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</si>
  <si>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</si>
  <si>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</si>
  <si>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</si>
  <si>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</si>
  <si>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</si>
  <si>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</si>
  <si>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</si>
  <si>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</si>
  <si>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</si>
  <si>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</si>
  <si>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</si>
  <si>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</si>
  <si>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</si>
  <si>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</si>
  <si>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</si>
  <si>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</si>
  <si>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</si>
  <si>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</si>
  <si>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</si>
  <si>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</si>
  <si>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</si>
  <si>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</si>
  <si>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</si>
  <si>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</si>
  <si>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</si>
  <si>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</si>
  <si>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</si>
  <si>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</si>
  <si>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</si>
  <si>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</si>
  <si>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</si>
  <si>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</si>
  <si>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</si>
  <si>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</si>
  <si>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</si>
  <si>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</si>
  <si>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</si>
  <si>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</si>
  <si>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</si>
  <si>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</si>
  <si>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</si>
  <si>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</si>
  <si>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</si>
  <si>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</si>
  <si>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</si>
  <si>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</si>
  <si>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</si>
  <si>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</si>
  <si>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</si>
  <si>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</si>
  <si>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</si>
  <si>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</si>
  <si>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</si>
  <si>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</si>
  <si>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</si>
  <si>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</si>
  <si>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</si>
  <si>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</si>
  <si>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</si>
  <si>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</si>
  <si>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</si>
  <si>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</si>
  <si>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</si>
  <si>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</si>
  <si>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</si>
  <si>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</si>
  <si>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</si>
  <si>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</si>
  <si>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</si>
  <si>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</si>
  <si>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</si>
  <si>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</si>
  <si>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</si>
  <si>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</si>
  <si>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</si>
  <si>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</si>
  <si>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</si>
  <si>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</si>
  <si>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</si>
  <si>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</si>
  <si>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</si>
  <si>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</si>
  <si>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</si>
  <si>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</si>
  <si>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</si>
  <si>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</si>
  <si>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</si>
  <si>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</si>
  <si>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</si>
  <si>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</si>
  <si>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</si>
  <si>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</si>
  <si>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</si>
  <si>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</si>
  <si>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</si>
  <si>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</si>
  <si>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</si>
  <si>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</si>
  <si>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</si>
  <si>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</si>
  <si>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</si>
  <si>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</si>
  <si>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</si>
  <si>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</si>
  <si>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</si>
  <si>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</si>
  <si>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</si>
  <si>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</si>
  <si>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</si>
  <si>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</si>
  <si>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</si>
  <si>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</si>
  <si>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</si>
  <si>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</si>
  <si>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</si>
  <si>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</si>
  <si>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</si>
  <si>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</si>
  <si>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</si>
  <si>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</si>
  <si>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</si>
  <si>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</si>
  <si>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</si>
  <si>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</si>
  <si>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</si>
  <si>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</si>
  <si>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</si>
  <si>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</si>
  <si>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</si>
  <si>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</si>
  <si>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</si>
  <si>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</si>
  <si>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</si>
  <si>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</si>
  <si>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</si>
  <si>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</si>
  <si>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</si>
  <si>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</si>
  <si>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</si>
  <si>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</si>
  <si>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</si>
  <si>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</si>
  <si>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</si>
  <si>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</si>
  <si>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</si>
  <si>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</si>
  <si>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</si>
  <si>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</si>
  <si>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</si>
  <si>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</si>
  <si>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</si>
  <si>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</si>
  <si>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</si>
  <si>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</si>
  <si>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</si>
  <si>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</si>
  <si>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</si>
  <si>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</si>
  <si>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</si>
  <si>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</si>
  <si>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</si>
  <si>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</si>
  <si>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</si>
  <si>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</si>
  <si>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</si>
  <si>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</si>
  <si>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</si>
  <si>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</si>
  <si>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</si>
  <si>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</si>
  <si>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</si>
  <si>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</si>
  <si>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</si>
  <si>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</si>
  <si>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</si>
  <si>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</si>
  <si>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</si>
  <si>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</si>
  <si>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</si>
  <si>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</si>
  <si>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</si>
  <si>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</si>
  <si>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</si>
  <si>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</si>
  <si>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</si>
  <si>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</si>
  <si>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</si>
  <si>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</si>
  <si>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</si>
  <si>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</si>
  <si>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</si>
  <si>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</si>
  <si>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</si>
  <si>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</si>
  <si>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</si>
  <si>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</si>
  <si>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</si>
  <si>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</si>
  <si>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</si>
  <si>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</si>
  <si>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</si>
  <si>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</si>
  <si>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</si>
  <si>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</si>
  <si>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</si>
  <si>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</si>
  <si>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</si>
  <si>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</si>
  <si>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</si>
  <si>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</si>
  <si>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</si>
  <si>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</si>
  <si>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</si>
  <si>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</si>
  <si>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</si>
  <si>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</si>
  <si>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</si>
  <si>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</si>
  <si>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</si>
  <si>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</si>
  <si>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</si>
  <si>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</si>
  <si>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</si>
  <si>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</si>
  <si>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</si>
  <si>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</si>
  <si>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</si>
  <si>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</si>
  <si>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</si>
  <si>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</si>
  <si>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</si>
  <si>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</si>
  <si>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</si>
  <si>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</si>
  <si>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</si>
  <si>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</si>
  <si>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</si>
  <si>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</si>
  <si>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</si>
  <si>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</si>
  <si>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</si>
  <si>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</si>
  <si>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</si>
  <si>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</si>
  <si>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</si>
  <si>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</si>
  <si>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</si>
  <si>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</si>
  <si>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</si>
  <si>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</si>
  <si>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</si>
  <si>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</si>
  <si>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</si>
  <si>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</si>
  <si>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</si>
  <si>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</si>
  <si>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</si>
  <si>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</si>
  <si>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</si>
  <si>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</si>
  <si>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</si>
  <si>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</si>
  <si>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</si>
  <si>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</si>
  <si>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</si>
  <si>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</si>
  <si>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</si>
  <si>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</si>
  <si>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</si>
  <si>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</si>
  <si>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</si>
  <si>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</si>
  <si>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</si>
  <si>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</si>
  <si>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</si>
  <si>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</si>
  <si>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</si>
  <si>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</si>
  <si>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</si>
  <si>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</si>
  <si>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</si>
  <si>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</si>
  <si>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</si>
  <si>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</si>
  <si>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</si>
  <si>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</si>
  <si>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</si>
  <si>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</si>
  <si>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</si>
  <si>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</si>
  <si>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</si>
  <si>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</si>
  <si>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</si>
  <si>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</si>
  <si>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</si>
  <si>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</si>
  <si>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</si>
  <si>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</si>
  <si>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</si>
  <si>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</si>
  <si>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</si>
  <si>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</si>
  <si>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</si>
  <si>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</si>
  <si>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</si>
  <si>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</si>
  <si>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</si>
  <si>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</si>
  <si>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</si>
  <si>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</si>
  <si>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</si>
  <si>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</si>
  <si>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</si>
  <si>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</si>
  <si>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</si>
  <si>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</si>
  <si>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</si>
  <si>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</si>
  <si>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</si>
  <si>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</si>
  <si>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</si>
  <si>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</si>
  <si>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</si>
  <si>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</si>
  <si>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</si>
  <si>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</si>
  <si>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</si>
  <si>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</si>
  <si>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</si>
  <si>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</si>
  <si>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</si>
  <si>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</si>
  <si>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</si>
  <si>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</si>
  <si>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</si>
  <si>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</si>
  <si>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</si>
  <si>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</si>
  <si>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</si>
  <si>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</si>
  <si>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</si>
  <si>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</si>
  <si>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</si>
  <si>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</si>
  <si>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</si>
  <si>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</si>
  <si>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</si>
  <si>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</si>
  <si>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</si>
  <si>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</si>
  <si>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</si>
  <si>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</si>
  <si>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</si>
  <si>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</si>
  <si>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</si>
  <si>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</si>
  <si>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</si>
  <si>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</si>
  <si>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</si>
  <si>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</si>
  <si>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</si>
  <si>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</si>
  <si>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</si>
  <si>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</si>
  <si>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</si>
  <si>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</si>
  <si>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</si>
  <si>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</si>
  <si>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</si>
  <si>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</si>
  <si>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</si>
  <si>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</si>
  <si>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</si>
  <si>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</si>
  <si>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</si>
  <si>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</si>
  <si>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</si>
  <si>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</si>
  <si>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</si>
  <si>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</si>
  <si>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</si>
  <si>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</si>
  <si>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</si>
  <si>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</si>
  <si>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</si>
  <si>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</si>
  <si>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</si>
  <si>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</si>
  <si>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</si>
  <si>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</si>
  <si>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</si>
  <si>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</si>
  <si>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</si>
  <si>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</si>
  <si>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</si>
  <si>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</si>
  <si>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</si>
  <si>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</si>
  <si>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</si>
  <si>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</si>
  <si>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</si>
  <si>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</si>
  <si>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</si>
  <si>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</si>
  <si>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</si>
  <si>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</si>
  <si>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</si>
  <si>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</si>
  <si>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</si>
  <si>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</si>
  <si>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</si>
  <si>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</si>
  <si>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</si>
  <si>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</si>
  <si>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</si>
  <si>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</si>
  <si>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</si>
  <si>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</si>
  <si>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</si>
  <si>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</si>
  <si>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</si>
  <si>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</si>
  <si>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</si>
  <si>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</si>
  <si>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</si>
  <si>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</si>
  <si>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</si>
  <si>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</si>
  <si>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</si>
  <si>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</si>
  <si>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</si>
  <si>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</si>
  <si>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</si>
  <si>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</si>
  <si>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</si>
  <si>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</si>
  <si>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</si>
  <si>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</si>
  <si>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</si>
  <si>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</si>
  <si>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</si>
  <si>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</si>
  <si>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</si>
  <si>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</si>
  <si>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</si>
  <si>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</si>
  <si>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</si>
  <si>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</si>
  <si>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</si>
  <si>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</si>
  <si>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</si>
  <si>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</si>
  <si>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</si>
  <si>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</si>
  <si>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</si>
  <si>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</si>
  <si>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</si>
  <si>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</si>
  <si>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</si>
  <si>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</si>
  <si>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</si>
  <si>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</si>
  <si>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</si>
  <si>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</si>
  <si>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</si>
  <si>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</si>
  <si>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</si>
  <si>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</si>
  <si>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</si>
  <si>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</si>
  <si>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</si>
  <si>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</si>
  <si>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</si>
  <si>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</si>
  <si>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</si>
  <si>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</si>
  <si>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</si>
  <si>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</si>
  <si>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</si>
  <si>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</si>
  <si>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</si>
  <si>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</si>
  <si>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</si>
  <si>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</si>
  <si>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</si>
  <si>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mimeType</t>
  </si>
  <si>
    <t>Mime-Type for attachment.</t>
  </si>
  <si>
    <t>ownerCode</t>
  </si>
  <si>
    <t>ProvincialRateType</t>
  </si>
  <si>
    <t>The standard rates used in creating a new rental agreement.</t>
  </si>
  <si>
    <t>rateType</t>
  </si>
  <si>
    <t>A unique code value for a ProvincialRateType</t>
  </si>
  <si>
    <t>A description of the ProvincialRateType as used in the rental agreement.</t>
  </si>
  <si>
    <t>A flag indicating if this ProvincialRateType should be used on new rental agreements.</t>
  </si>
  <si>
    <t>periodType</t>
  </si>
  <si>
    <t>The period this ProvincialRateTYpe is billed at (either Hourly or Daily).</t>
  </si>
  <si>
    <t>Rate in dollars for this ProvincialRateType.</t>
  </si>
  <si>
    <t>Indicates this ProvincialRateType is calculated as a percentage of the base rate.</t>
  </si>
  <si>
    <t>isRateEditable</t>
  </si>
  <si>
    <t>isIncludedInTotal</t>
  </si>
  <si>
    <t>Indicates if this rate is added to the total in the rental agreement.</t>
  </si>
  <si>
    <t>Indicates if a user can modify the rate for this ProvincialRateType.</t>
  </si>
  <si>
    <t>isPercentRate</t>
  </si>
  <si>
    <t>ConditionType</t>
  </si>
  <si>
    <t>The standard conditions used in creating a new rental agreement.</t>
  </si>
  <si>
    <t>A unique code value for a ConditionType</t>
  </si>
  <si>
    <t>A description of the ConditionType as used in the rental agreement.</t>
  </si>
  <si>
    <t>A flag indicating if this ConditionType should be used on new rental agreements.</t>
  </si>
  <si>
    <t>conditionTypeCode</t>
  </si>
  <si>
    <t>isInTotalEditable</t>
  </si>
  <si>
    <t>Indicates if the user can override the default Included In Total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</si>
</sst>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0" fillId="0" borderId="0"/>
  </cellStyleXfs>
  <cellXfs count="182">
    <xf numFmtId="0" fontId="0" fillId="0" borderId="0" xfId="0"/>
    <xf numFmtId="0" fontId="64" fillId="0" borderId="0" xfId="719" applyFont="1" applyAlignment="1">
      <alignment vertical="top"/>
    </xf>
    <xf numFmtId="0" fontId="64" fillId="0" borderId="0" xfId="719" applyFont="1" applyAlignment="1">
      <alignment vertical="top" wrapText="1"/>
    </xf>
    <xf numFmtId="0" fontId="60" fillId="0" borderId="0" xfId="719"/>
    <xf numFmtId="0" fontId="60" fillId="0" borderId="0" xfId="719" applyNumberFormat="1" applyAlignment="1">
      <alignment vertical="top"/>
    </xf>
    <xf numFmtId="0" fontId="60" fillId="0" borderId="0" xfId="719" applyAlignment="1">
      <alignment vertical="top"/>
    </xf>
    <xf numFmtId="0" fontId="60" fillId="0" borderId="0" xfId="719" applyAlignment="1">
      <alignment vertical="top" wrapText="1"/>
    </xf>
    <xf numFmtId="0" fontId="59" fillId="0" borderId="0" xfId="719" applyFont="1"/>
    <xf numFmtId="0" fontId="0" fillId="0" borderId="0" xfId="0" applyAlignment="1">
      <alignment vertical="top"/>
    </xf>
    <xf numFmtId="0" fontId="64" fillId="0" borderId="0" xfId="0" applyFont="1" applyAlignment="1">
      <alignment vertical="top"/>
    </xf>
    <xf numFmtId="0" fontId="58" fillId="0" borderId="0" xfId="719" applyFont="1"/>
    <xf numFmtId="0" fontId="58" fillId="0" borderId="0" xfId="719" applyFont="1" applyAlignment="1">
      <alignment vertical="top"/>
    </xf>
    <xf numFmtId="0" fontId="60" fillId="0" borderId="0" xfId="719" applyFill="1" applyAlignment="1">
      <alignment vertical="top" wrapText="1"/>
    </xf>
    <xf numFmtId="0" fontId="60" fillId="0" borderId="0" xfId="719" applyNumberFormat="1" applyFill="1"/>
    <xf numFmtId="0" fontId="0" fillId="0" borderId="0" xfId="0" applyNumberFormat="1" applyAlignment="1">
      <alignment vertical="top"/>
    </xf>
    <xf numFmtId="0" fontId="57" fillId="0" borderId="0" xfId="719" applyFont="1"/>
    <xf numFmtId="0" fontId="57" fillId="0" borderId="0" xfId="719" applyFont="1" applyFill="1"/>
    <xf numFmtId="0" fontId="60" fillId="0" borderId="0" xfId="719" applyFill="1"/>
    <xf numFmtId="0" fontId="60" fillId="0" borderId="0" xfId="719" applyNumberFormat="1" applyFill="1" applyAlignment="1">
      <alignment vertical="top"/>
    </xf>
    <xf numFmtId="0" fontId="55" fillId="0" borderId="0" xfId="719" applyFont="1" applyFill="1" applyAlignment="1">
      <alignment vertical="top"/>
    </xf>
    <xf numFmtId="0" fontId="54" fillId="0" borderId="0" xfId="719" applyFont="1"/>
    <xf numFmtId="0" fontId="54" fillId="0" borderId="0" xfId="719" applyFont="1" applyFill="1" applyAlignment="1">
      <alignment vertical="top"/>
    </xf>
    <xf numFmtId="0" fontId="54" fillId="0" borderId="0" xfId="719" applyFont="1" applyFill="1" applyAlignment="1">
      <alignment vertical="top" wrapText="1"/>
    </xf>
    <xf numFmtId="0" fontId="53" fillId="0" borderId="0" xfId="719" applyFont="1" applyFill="1" applyAlignment="1">
      <alignment vertical="top"/>
    </xf>
    <xf numFmtId="0" fontId="53" fillId="0" borderId="0" xfId="719" applyFont="1" applyFill="1" applyAlignment="1">
      <alignment vertical="top" wrapText="1"/>
    </xf>
    <xf numFmtId="0" fontId="53" fillId="0" borderId="0" xfId="719" applyNumberFormat="1" applyFont="1" applyFill="1" applyAlignment="1">
      <alignment vertical="top"/>
    </xf>
    <xf numFmtId="0" fontId="52" fillId="0" borderId="0" xfId="719" applyFont="1" applyFill="1" applyAlignment="1">
      <alignment vertical="top"/>
    </xf>
    <xf numFmtId="0" fontId="52" fillId="0" borderId="0" xfId="719" applyFont="1" applyFill="1" applyAlignment="1">
      <alignment vertical="top" wrapText="1"/>
    </xf>
    <xf numFmtId="0" fontId="51" fillId="0" borderId="0" xfId="719" applyFont="1" applyFill="1" applyAlignment="1">
      <alignment vertical="top"/>
    </xf>
    <xf numFmtId="0" fontId="51" fillId="0" borderId="0" xfId="719" applyFont="1" applyAlignment="1">
      <alignment vertical="top"/>
    </xf>
    <xf numFmtId="0" fontId="51" fillId="0" borderId="0" xfId="719" applyFont="1" applyFill="1"/>
    <xf numFmtId="0" fontId="50" fillId="0" borderId="0" xfId="719" applyFont="1" applyFill="1" applyAlignment="1">
      <alignment vertical="top"/>
    </xf>
    <xf numFmtId="0" fontId="47" fillId="0" borderId="0" xfId="719" applyFont="1" applyAlignment="1">
      <alignment vertical="top"/>
    </xf>
    <xf numFmtId="0" fontId="47" fillId="0" borderId="0" xfId="719" applyFont="1" applyFill="1"/>
    <xf numFmtId="0" fontId="47" fillId="0" borderId="0" xfId="719" applyNumberFormat="1" applyFont="1" applyAlignment="1">
      <alignment vertical="top"/>
    </xf>
    <xf numFmtId="0" fontId="45" fillId="0" borderId="0" xfId="719" applyFont="1" applyAlignment="1">
      <alignment vertical="top"/>
    </xf>
    <xf numFmtId="0" fontId="45" fillId="0" borderId="0" xfId="719" applyNumberFormat="1" applyFont="1" applyAlignment="1">
      <alignment vertical="top"/>
    </xf>
    <xf numFmtId="0" fontId="45" fillId="0" borderId="0" xfId="719" applyFont="1" applyFill="1"/>
    <xf numFmtId="0" fontId="44" fillId="0" borderId="0" xfId="719" applyFont="1" applyFill="1" applyAlignment="1">
      <alignment vertical="top"/>
    </xf>
    <xf numFmtId="0" fontId="44" fillId="0" borderId="0" xfId="719" applyFont="1" applyFill="1" applyAlignment="1">
      <alignment vertical="top" wrapText="1"/>
    </xf>
    <xf numFmtId="0" fontId="43" fillId="0" borderId="0" xfId="719" applyFont="1" applyFill="1" applyAlignment="1">
      <alignment vertical="top"/>
    </xf>
    <xf numFmtId="0" fontId="41" fillId="0" borderId="0" xfId="719" applyNumberFormat="1" applyFont="1" applyAlignment="1">
      <alignment vertical="top"/>
    </xf>
    <xf numFmtId="0" fontId="39" fillId="0" borderId="0" xfId="719" applyFont="1" applyAlignment="1">
      <alignment vertical="top"/>
    </xf>
    <xf numFmtId="0" fontId="39" fillId="0" borderId="0" xfId="719" applyFont="1" applyFill="1"/>
    <xf numFmtId="0" fontId="39" fillId="0" borderId="0" xfId="719" applyNumberFormat="1" applyFont="1" applyAlignment="1">
      <alignment vertical="top"/>
    </xf>
    <xf numFmtId="0" fontId="39" fillId="0" borderId="0" xfId="719" applyFont="1"/>
    <xf numFmtId="49" fontId="64" fillId="0" borderId="0" xfId="719" applyNumberFormat="1" applyFont="1" applyAlignment="1">
      <alignment vertical="top" wrapText="1"/>
    </xf>
    <xf numFmtId="49" fontId="60" fillId="0" borderId="0" xfId="719" applyNumberFormat="1" applyFill="1" applyAlignment="1">
      <alignment vertical="top" wrapText="1"/>
    </xf>
    <xf numFmtId="49" fontId="43" fillId="0" borderId="0" xfId="719" applyNumberFormat="1" applyFont="1" applyFill="1" applyAlignment="1">
      <alignment vertical="top" wrapText="1"/>
    </xf>
    <xf numFmtId="49" fontId="42" fillId="0" borderId="0" xfId="719" applyNumberFormat="1" applyFont="1" applyFill="1" applyAlignment="1">
      <alignment vertical="top" wrapText="1"/>
    </xf>
    <xf numFmtId="49" fontId="40" fillId="0" borderId="0" xfId="719" applyNumberFormat="1" applyFont="1" applyFill="1" applyAlignment="1">
      <alignment vertical="top" wrapText="1"/>
    </xf>
    <xf numFmtId="49" fontId="55" fillId="0" borderId="0" xfId="719" applyNumberFormat="1" applyFont="1" applyFill="1" applyAlignment="1">
      <alignment vertical="top" wrapText="1"/>
    </xf>
    <xf numFmtId="49" fontId="44" fillId="0" borderId="0" xfId="719" applyNumberFormat="1" applyFont="1" applyAlignment="1">
      <alignment vertical="top" wrapText="1"/>
    </xf>
    <xf numFmtId="49" fontId="44" fillId="0" borderId="0" xfId="719" applyNumberFormat="1" applyFont="1" applyFill="1" applyAlignment="1">
      <alignment vertical="top" wrapText="1"/>
    </xf>
    <xf numFmtId="49" fontId="60" fillId="0" borderId="0" xfId="719" applyNumberFormat="1" applyAlignment="1">
      <alignment vertical="top" wrapText="1"/>
    </xf>
    <xf numFmtId="0" fontId="38" fillId="0" borderId="0" xfId="719" applyFont="1"/>
    <xf numFmtId="0" fontId="38" fillId="0" borderId="0" xfId="719" applyFont="1" applyFill="1"/>
    <xf numFmtId="0" fontId="37" fillId="0" borderId="0" xfId="719" applyFont="1" applyAlignment="1">
      <alignment vertical="top"/>
    </xf>
    <xf numFmtId="0" fontId="37" fillId="0" borderId="0" xfId="719" applyFont="1" applyFill="1"/>
    <xf numFmtId="0" fontId="37" fillId="0" borderId="0" xfId="719" applyNumberFormat="1" applyFont="1" applyAlignment="1">
      <alignment vertical="top"/>
    </xf>
    <xf numFmtId="49" fontId="36" fillId="0" borderId="0" xfId="719" applyNumberFormat="1" applyFont="1" applyFill="1" applyAlignment="1">
      <alignment vertical="top" wrapText="1"/>
    </xf>
    <xf numFmtId="0" fontId="36" fillId="0" borderId="0" xfId="719" applyFont="1" applyFill="1" applyAlignment="1">
      <alignment vertical="top"/>
    </xf>
    <xf numFmtId="0" fontId="36" fillId="0" borderId="0" xfId="719" applyFont="1" applyFill="1" applyAlignment="1">
      <alignment vertical="top" wrapText="1"/>
    </xf>
    <xf numFmtId="0" fontId="36" fillId="0" borderId="0" xfId="719" applyNumberFormat="1" applyFont="1" applyAlignment="1">
      <alignment vertical="top"/>
    </xf>
    <xf numFmtId="0" fontId="35" fillId="0" borderId="0" xfId="719" applyFont="1" applyFill="1" applyAlignment="1">
      <alignment vertical="top"/>
    </xf>
    <xf numFmtId="49" fontId="35" fillId="0" borderId="0" xfId="719" applyNumberFormat="1" applyFont="1" applyFill="1" applyAlignment="1">
      <alignment vertical="top" wrapText="1"/>
    </xf>
    <xf numFmtId="0" fontId="33" fillId="0" borderId="0" xfId="719" applyFont="1" applyFill="1" applyAlignment="1">
      <alignment vertical="top"/>
    </xf>
    <xf numFmtId="0" fontId="32" fillId="0" borderId="0" xfId="719" applyFont="1" applyFill="1" applyAlignment="1">
      <alignment vertical="top"/>
    </xf>
    <xf numFmtId="0" fontId="32" fillId="0" borderId="0" xfId="719" applyFont="1" applyFill="1" applyAlignment="1">
      <alignment vertical="top" wrapText="1"/>
    </xf>
    <xf numFmtId="0" fontId="31" fillId="0" borderId="0" xfId="719" applyFont="1" applyFill="1" applyAlignment="1">
      <alignment vertical="top"/>
    </xf>
    <xf numFmtId="49" fontId="31" fillId="0" borderId="0" xfId="719" applyNumberFormat="1" applyFont="1" applyFill="1" applyAlignment="1">
      <alignment vertical="top" wrapText="1"/>
    </xf>
    <xf numFmtId="0" fontId="30" fillId="0" borderId="0" xfId="719" applyFont="1" applyFill="1" applyAlignment="1">
      <alignment vertical="top"/>
    </xf>
    <xf numFmtId="0" fontId="60" fillId="0" borderId="0" xfId="719" applyFill="1" applyAlignment="1">
      <alignment vertical="top"/>
    </xf>
    <xf numFmtId="0" fontId="29" fillId="0" borderId="0" xfId="719" applyFont="1" applyFill="1" applyAlignment="1">
      <alignment vertical="top"/>
    </xf>
    <xf numFmtId="49" fontId="29" fillId="0" borderId="0" xfId="719" applyNumberFormat="1" applyFont="1" applyFill="1" applyAlignment="1">
      <alignment vertical="top" wrapText="1"/>
    </xf>
    <xf numFmtId="0" fontId="63" fillId="0" borderId="0" xfId="0" applyFont="1" applyAlignment="1">
      <alignment vertical="top"/>
    </xf>
    <xf numFmtId="49" fontId="36" fillId="0" borderId="0" xfId="719" applyNumberFormat="1" applyFont="1" applyAlignment="1">
      <alignment vertical="top" wrapText="1"/>
    </xf>
    <xf numFmtId="0" fontId="53" fillId="0" borderId="0" xfId="719" applyFont="1" applyAlignment="1">
      <alignment vertical="top"/>
    </xf>
    <xf numFmtId="0" fontId="43" fillId="0" borderId="0" xfId="719" applyFont="1" applyAlignment="1">
      <alignment vertical="top"/>
    </xf>
    <xf numFmtId="49" fontId="34" fillId="0" borderId="0" xfId="719" applyNumberFormat="1" applyFont="1" applyAlignment="1">
      <alignment vertical="top" wrapText="1"/>
    </xf>
    <xf numFmtId="0" fontId="36" fillId="0" borderId="0" xfId="719" applyFont="1" applyAlignment="1">
      <alignment vertical="top"/>
    </xf>
    <xf numFmtId="0" fontId="55" fillId="0" borderId="0" xfId="719" applyFont="1" applyAlignment="1">
      <alignment vertical="top"/>
    </xf>
    <xf numFmtId="0" fontId="54" fillId="0" borderId="0" xfId="719" applyFont="1" applyAlignment="1">
      <alignment vertical="top"/>
    </xf>
    <xf numFmtId="0" fontId="29" fillId="0" borderId="0" xfId="719" applyNumberFormat="1" applyFont="1" applyFill="1" applyAlignment="1">
      <alignment vertical="top"/>
    </xf>
    <xf numFmtId="0" fontId="29" fillId="0" borderId="0" xfId="719" applyFont="1" applyFill="1" applyAlignment="1">
      <alignment vertical="top" wrapText="1"/>
    </xf>
    <xf numFmtId="0" fontId="28" fillId="0" borderId="0" xfId="719" applyFont="1" applyFill="1" applyAlignment="1">
      <alignment vertical="top"/>
    </xf>
    <xf numFmtId="0" fontId="27" fillId="0" borderId="0" xfId="719" applyNumberFormat="1" applyFont="1" applyAlignment="1">
      <alignment vertical="top"/>
    </xf>
    <xf numFmtId="0" fontId="27" fillId="0" borderId="0" xfId="719" applyFont="1"/>
    <xf numFmtId="0" fontId="29" fillId="0" borderId="0" xfId="719" applyFont="1" applyAlignment="1">
      <alignment vertical="top"/>
    </xf>
    <xf numFmtId="49" fontId="29" fillId="0" borderId="0" xfId="719" applyNumberFormat="1" applyFont="1" applyAlignment="1">
      <alignment vertical="top" wrapText="1"/>
    </xf>
    <xf numFmtId="49" fontId="43" fillId="0" borderId="0" xfId="719" applyNumberFormat="1" applyFont="1" applyAlignment="1">
      <alignment horizontal="fill" vertical="top" wrapText="1"/>
    </xf>
    <xf numFmtId="0" fontId="52" fillId="0" borderId="0" xfId="719" applyFont="1" applyAlignment="1">
      <alignment vertical="top"/>
    </xf>
    <xf numFmtId="0" fontId="35" fillId="0" borderId="0" xfId="719" applyFont="1" applyAlignment="1">
      <alignment vertical="top"/>
    </xf>
    <xf numFmtId="49" fontId="43" fillId="0" borderId="0" xfId="719" applyNumberFormat="1" applyFont="1" applyAlignment="1">
      <alignment vertical="top" wrapText="1"/>
    </xf>
    <xf numFmtId="0" fontId="46" fillId="0" borderId="0" xfId="719" applyFont="1" applyAlignment="1">
      <alignment vertical="top"/>
    </xf>
    <xf numFmtId="0" fontId="42" fillId="0" borderId="0" xfId="719" applyFont="1" applyAlignment="1">
      <alignment vertical="top"/>
    </xf>
    <xf numFmtId="49" fontId="42" fillId="0" borderId="0" xfId="719" applyNumberFormat="1" applyFont="1" applyAlignment="1">
      <alignment vertical="top" wrapText="1"/>
    </xf>
    <xf numFmtId="0" fontId="31" fillId="0" borderId="0" xfId="719" applyFont="1" applyAlignment="1">
      <alignment vertical="top"/>
    </xf>
    <xf numFmtId="49" fontId="35" fillId="0" borderId="0" xfId="719" applyNumberFormat="1" applyFont="1" applyAlignment="1">
      <alignment vertical="top" wrapText="1"/>
    </xf>
    <xf numFmtId="49" fontId="33" fillId="0" borderId="0" xfId="719" applyNumberFormat="1" applyFont="1" applyAlignment="1">
      <alignment vertical="top" wrapText="1"/>
    </xf>
    <xf numFmtId="49" fontId="39" fillId="0" borderId="0" xfId="719" applyNumberFormat="1" applyFont="1" applyAlignment="1">
      <alignment vertical="top" wrapText="1"/>
    </xf>
    <xf numFmtId="49" fontId="41" fillId="0" borderId="0" xfId="719" applyNumberFormat="1" applyFont="1" applyAlignment="1">
      <alignment vertical="top" wrapText="1"/>
    </xf>
    <xf numFmtId="0" fontId="41" fillId="0" borderId="0" xfId="719" applyFont="1" applyAlignment="1">
      <alignment vertical="top"/>
    </xf>
    <xf numFmtId="49" fontId="53" fillId="0" borderId="0" xfId="719" applyNumberFormat="1" applyFont="1" applyAlignment="1">
      <alignment vertical="top" wrapText="1"/>
    </xf>
    <xf numFmtId="49" fontId="49" fillId="0" borderId="0" xfId="719" applyNumberFormat="1" applyFont="1" applyAlignment="1">
      <alignment vertical="top" wrapText="1"/>
    </xf>
    <xf numFmtId="49" fontId="55" fillId="0" borderId="0" xfId="719" applyNumberFormat="1" applyFont="1" applyAlignment="1">
      <alignment vertical="top" wrapText="1"/>
    </xf>
    <xf numFmtId="0" fontId="48" fillId="0" borderId="0" xfId="719" applyFont="1" applyAlignment="1">
      <alignment vertical="top"/>
    </xf>
    <xf numFmtId="49" fontId="48" fillId="0" borderId="0" xfId="719" applyNumberFormat="1" applyFont="1" applyAlignment="1">
      <alignment horizontal="fill" vertical="top" wrapText="1"/>
    </xf>
    <xf numFmtId="0" fontId="44" fillId="0" borderId="0" xfId="719" applyFont="1" applyAlignment="1">
      <alignment vertical="top"/>
    </xf>
    <xf numFmtId="0" fontId="56" fillId="0" borderId="0" xfId="719" applyFont="1" applyAlignment="1">
      <alignment vertical="top"/>
    </xf>
    <xf numFmtId="49" fontId="56" fillId="0" borderId="0" xfId="719" applyNumberFormat="1" applyFont="1" applyAlignment="1">
      <alignment vertical="top" wrapText="1"/>
    </xf>
    <xf numFmtId="0" fontId="26" fillId="0" borderId="0" xfId="719" applyFont="1" applyFill="1" applyAlignment="1">
      <alignment vertical="top"/>
    </xf>
    <xf numFmtId="49" fontId="26" fillId="0" borderId="0" xfId="719" applyNumberFormat="1" applyFont="1" applyFill="1" applyAlignment="1">
      <alignment vertical="top" wrapText="1"/>
    </xf>
    <xf numFmtId="49" fontId="26" fillId="0" borderId="0" xfId="719" applyNumberFormat="1" applyFont="1" applyAlignment="1">
      <alignment vertical="top" wrapText="1"/>
    </xf>
    <xf numFmtId="0" fontId="26" fillId="0" borderId="0" xfId="719" applyNumberFormat="1" applyFont="1" applyFill="1" applyAlignment="1">
      <alignment vertical="top"/>
    </xf>
    <xf numFmtId="0" fontId="26" fillId="0" borderId="0" xfId="719" applyFont="1" applyFill="1" applyAlignment="1">
      <alignment vertical="top" wrapText="1"/>
    </xf>
    <xf numFmtId="0" fontId="26" fillId="0" borderId="0" xfId="719" applyFont="1" applyAlignment="1">
      <alignment vertical="top"/>
    </xf>
    <xf numFmtId="0" fontId="25" fillId="0" borderId="0" xfId="719" applyFont="1"/>
    <xf numFmtId="0" fontId="60" fillId="0" borderId="0" xfId="719" applyAlignment="1"/>
    <xf numFmtId="0" fontId="25" fillId="0" borderId="0" xfId="719" applyNumberFormat="1" applyFont="1" applyAlignment="1">
      <alignment vertical="top"/>
    </xf>
    <xf numFmtId="0" fontId="25" fillId="0" borderId="0" xfId="719" applyFont="1" applyAlignment="1">
      <alignment vertical="top"/>
    </xf>
    <xf numFmtId="0" fontId="25" fillId="0" borderId="0" xfId="719" applyFont="1" applyAlignment="1"/>
    <xf numFmtId="0" fontId="25" fillId="0" borderId="0" xfId="719" applyFont="1" applyFill="1" applyAlignment="1">
      <alignment vertical="top"/>
    </xf>
    <xf numFmtId="49" fontId="25" fillId="0" borderId="0" xfId="719" applyNumberFormat="1" applyFont="1" applyFill="1" applyAlignment="1">
      <alignment vertical="top" wrapText="1"/>
    </xf>
    <xf numFmtId="0" fontId="24" fillId="0" borderId="0" xfId="719" applyFont="1" applyFill="1" applyAlignment="1">
      <alignment vertical="top"/>
    </xf>
    <xf numFmtId="0" fontId="24" fillId="0" borderId="0" xfId="719" applyFont="1" applyFill="1" applyAlignment="1">
      <alignment vertical="top" wrapText="1"/>
    </xf>
    <xf numFmtId="0" fontId="24" fillId="0" borderId="0" xfId="719" applyNumberFormat="1" applyFont="1" applyFill="1" applyAlignment="1">
      <alignment vertical="top"/>
    </xf>
    <xf numFmtId="0" fontId="23" fillId="0" borderId="0" xfId="719" applyFont="1" applyFill="1" applyAlignment="1">
      <alignment vertical="top"/>
    </xf>
    <xf numFmtId="49" fontId="23" fillId="0" borderId="0" xfId="719" applyNumberFormat="1" applyFont="1" applyFill="1" applyAlignment="1">
      <alignment vertical="top" wrapText="1"/>
    </xf>
    <xf numFmtId="49" fontId="22" fillId="0" borderId="0" xfId="719" applyNumberFormat="1" applyFont="1" applyFill="1" applyAlignment="1">
      <alignment vertical="top" wrapText="1"/>
    </xf>
    <xf numFmtId="49" fontId="22" fillId="0" borderId="0" xfId="719" applyNumberFormat="1" applyFont="1" applyAlignment="1">
      <alignment vertical="top" wrapText="1"/>
    </xf>
    <xf numFmtId="0" fontId="21" fillId="0" borderId="0" xfId="719" applyFont="1" applyFill="1" applyAlignment="1">
      <alignment vertical="top"/>
    </xf>
    <xf numFmtId="49" fontId="21" fillId="0" borderId="0" xfId="719" applyNumberFormat="1" applyFont="1" applyFill="1" applyAlignment="1">
      <alignment vertical="top" wrapText="1"/>
    </xf>
    <xf numFmtId="0" fontId="20" fillId="0" borderId="0" xfId="719" applyFont="1" applyFill="1" applyAlignment="1">
      <alignment vertical="top"/>
    </xf>
    <xf numFmtId="0" fontId="20" fillId="0" borderId="0" xfId="719" applyFont="1" applyFill="1" applyAlignment="1">
      <alignment vertical="top" wrapText="1"/>
    </xf>
    <xf numFmtId="49" fontId="20" fillId="0" borderId="0" xfId="719" applyNumberFormat="1" applyFont="1" applyFill="1" applyAlignment="1">
      <alignment vertical="top" wrapText="1"/>
    </xf>
    <xf numFmtId="0" fontId="19" fillId="0" borderId="0" xfId="719" applyFont="1" applyFill="1" applyAlignment="1">
      <alignment vertical="top"/>
    </xf>
    <xf numFmtId="49" fontId="19" fillId="0" borderId="0" xfId="719" applyNumberFormat="1" applyFont="1" applyFill="1" applyAlignment="1">
      <alignment vertical="top" wrapText="1"/>
    </xf>
    <xf numFmtId="49" fontId="19" fillId="0" borderId="0" xfId="719" applyNumberFormat="1" applyFont="1" applyAlignment="1">
      <alignment vertical="top" wrapText="1"/>
    </xf>
    <xf numFmtId="0" fontId="19" fillId="0" borderId="0" xfId="719" applyFont="1" applyAlignment="1">
      <alignment vertical="top"/>
    </xf>
    <xf numFmtId="0" fontId="18" fillId="0" borderId="0" xfId="719" applyFont="1" applyAlignment="1">
      <alignment vertical="top"/>
    </xf>
    <xf numFmtId="49" fontId="18" fillId="0" borderId="0" xfId="719" applyNumberFormat="1" applyFont="1" applyFill="1" applyAlignment="1">
      <alignment vertical="top" wrapText="1"/>
    </xf>
    <xf numFmtId="0" fontId="18" fillId="0" borderId="0" xfId="719" applyFont="1" applyFill="1" applyAlignment="1">
      <alignment vertical="top"/>
    </xf>
    <xf numFmtId="0" fontId="18" fillId="0" borderId="0" xfId="719" applyFont="1" applyFill="1" applyAlignment="1">
      <alignment vertical="top" wrapText="1"/>
    </xf>
    <xf numFmtId="49" fontId="18" fillId="0" borderId="0" xfId="719" applyNumberFormat="1" applyFont="1" applyAlignment="1">
      <alignment vertical="top" wrapText="1"/>
    </xf>
    <xf numFmtId="0" fontId="18" fillId="0" borderId="0" xfId="719" applyFont="1"/>
    <xf numFmtId="0" fontId="18" fillId="0" borderId="0" xfId="719" applyNumberFormat="1" applyFont="1" applyAlignment="1">
      <alignment vertical="top"/>
    </xf>
    <xf numFmtId="0" fontId="17" fillId="0" borderId="0" xfId="719" applyFont="1" applyFill="1"/>
    <xf numFmtId="0" fontId="16" fillId="0" borderId="0" xfId="719" applyFont="1" applyFill="1" applyAlignment="1">
      <alignment vertical="top"/>
    </xf>
    <xf numFmtId="49" fontId="16" fillId="0" borderId="0" xfId="719" applyNumberFormat="1" applyFont="1" applyFill="1" applyAlignment="1">
      <alignment vertical="top" wrapText="1"/>
    </xf>
    <xf numFmtId="0" fontId="16" fillId="0" borderId="0" xfId="719" applyFont="1" applyAlignment="1"/>
    <xf numFmtId="0" fontId="16" fillId="0" borderId="0" xfId="719" applyNumberFormat="1" applyFont="1" applyFill="1" applyAlignment="1">
      <alignment vertical="top"/>
    </xf>
    <xf numFmtId="0" fontId="15" fillId="0" borderId="0" xfId="719" applyFont="1"/>
    <xf numFmtId="0" fontId="14" fillId="0" borderId="0" xfId="719" applyFont="1" applyFill="1" applyAlignment="1">
      <alignment vertical="top"/>
    </xf>
    <xf numFmtId="0" fontId="13" fillId="0" borderId="0" xfId="719" applyFont="1" applyFill="1" applyAlignment="1">
      <alignment vertical="top"/>
    </xf>
    <xf numFmtId="0" fontId="12" fillId="0" borderId="0" xfId="719" applyFont="1"/>
    <xf numFmtId="0" fontId="12" fillId="0" borderId="0" xfId="719" applyFont="1" applyFill="1" applyAlignment="1">
      <alignment vertical="top"/>
    </xf>
    <xf numFmtId="0" fontId="11" fillId="0" borderId="0" xfId="719" applyNumberFormat="1" applyFont="1" applyFill="1" applyAlignment="1">
      <alignment vertical="top"/>
    </xf>
    <xf numFmtId="0" fontId="11" fillId="0" borderId="0" xfId="719" applyNumberFormat="1" applyFont="1" applyAlignment="1">
      <alignment vertical="top"/>
    </xf>
    <xf numFmtId="49" fontId="11" fillId="0" borderId="0" xfId="719" applyNumberFormat="1" applyFont="1" applyFill="1" applyAlignment="1">
      <alignment vertical="top" wrapText="1"/>
    </xf>
    <xf numFmtId="0" fontId="10" fillId="0" borderId="0" xfId="719" applyFont="1" applyAlignment="1">
      <alignment vertical="top"/>
    </xf>
    <xf numFmtId="0" fontId="9" fillId="0" borderId="0" xfId="719" applyFont="1" applyFill="1" applyAlignment="1">
      <alignment vertical="top"/>
    </xf>
    <xf numFmtId="0" fontId="9" fillId="0" borderId="0" xfId="719" applyFont="1" applyAlignment="1">
      <alignment vertical="top"/>
    </xf>
    <xf numFmtId="0" fontId="8" fillId="0" borderId="0" xfId="719" applyFont="1" applyAlignment="1">
      <alignment vertical="top"/>
    </xf>
    <xf numFmtId="0" fontId="7" fillId="0" borderId="0" xfId="719" applyFont="1" applyFill="1" applyAlignment="1">
      <alignment vertical="top"/>
    </xf>
    <xf numFmtId="49" fontId="7" fillId="0" borderId="0" xfId="719" applyNumberFormat="1" applyFont="1" applyFill="1" applyAlignment="1">
      <alignment vertical="top" wrapText="1"/>
    </xf>
    <xf numFmtId="0" fontId="7" fillId="0" borderId="0" xfId="719" applyNumberFormat="1" applyFont="1" applyFill="1" applyAlignment="1">
      <alignment vertical="top"/>
    </xf>
    <xf numFmtId="0" fontId="6" fillId="0" borderId="0" xfId="719" applyFont="1" applyFill="1" applyAlignment="1">
      <alignment vertical="top"/>
    </xf>
    <xf numFmtId="0" fontId="5" fillId="0" borderId="0" xfId="719" applyFont="1" applyFill="1" applyAlignment="1">
      <alignment vertical="top"/>
    </xf>
    <xf numFmtId="49" fontId="5" fillId="0" borderId="0" xfId="719" applyNumberFormat="1" applyFont="1" applyFill="1" applyAlignment="1">
      <alignment vertical="top" wrapText="1"/>
    </xf>
    <xf numFmtId="0" fontId="4" fillId="0" borderId="0" xfId="719" applyFont="1" applyAlignment="1">
      <alignment vertical="top"/>
    </xf>
    <xf numFmtId="0" fontId="3" fillId="0" borderId="0" xfId="719" applyFont="1" applyAlignment="1">
      <alignment vertical="top"/>
    </xf>
    <xf numFmtId="49" fontId="3" fillId="0" borderId="0" xfId="719" applyNumberFormat="1" applyFont="1" applyAlignment="1">
      <alignment vertical="top" wrapText="1"/>
    </xf>
    <xf numFmtId="0" fontId="3" fillId="0" borderId="0" xfId="719" applyFont="1" applyFill="1" applyAlignment="1">
      <alignment vertical="top"/>
    </xf>
    <xf numFmtId="0" fontId="3" fillId="0" borderId="0" xfId="719" applyNumberFormat="1" applyFont="1" applyFill="1" applyAlignment="1">
      <alignment vertical="top"/>
    </xf>
    <xf numFmtId="49" fontId="3" fillId="0" borderId="0" xfId="719" applyNumberFormat="1" applyFont="1" applyFill="1" applyAlignment="1">
      <alignment vertical="top" wrapText="1"/>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719" applyNumberFormat="1" applyFont="1" applyFill="1" applyAlignment="1">
      <alignment vertical="top"/>
    </xf>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75" totalsRowCount="1" headerRowDxfId="75" dataDxfId="74" totalsRowDxfId="73">
  <autoFilter ref="A1:Y374"/>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48"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7" dataDxfId="46">
  <autoFilter ref="A1:V72"/>
  <tableColumns count="22">
    <tableColumn id="1" name="!type" dataDxfId="45"/>
    <tableColumn id="2" name="!path" dataDxfId="44"/>
    <tableColumn id="6" name="!tag" dataCellStyle="Normal 2"/>
    <tableColumn id="3" name="!paramDef" dataDxfId="43">
      <calculatedColumnFormula>LOWER(Table23[[#This Row],[!path]])&amp;"s"</calculatedColumnFormula>
    </tableColumn>
    <tableColumn id="21" name="!permission" dataDxfId="42" dataCellStyle="Normal 2"/>
    <tableColumn id="4" name="!respDef" dataDxfId="41" dataCellStyle="Normal 2"/>
    <tableColumn id="5" name="!Description" dataDxfId="40" dataCellStyle="Normal 2"/>
    <tableColumn id="7" name="File" dataDxfId="39">
      <calculatedColumnFormula>IF(LEN(A2) &gt;0,"Path","-")</calculatedColumnFormula>
    </tableColumn>
    <tableColumn id="8" name="crud" dataDxfId="38">
      <calculatedColumnFormula>IF(LEN(Table23[[#This Row],[!type]])&gt;0,IF(Table23[[#This Row],[!type]]=I$1,"1","rg:None"),"-")</calculatedColumnFormula>
    </tableColumn>
    <tableColumn id="9" name="post" dataDxfId="37">
      <calculatedColumnFormula>IF(LEN(Table23[[#This Row],[!type]])&gt;0,IF(Table23[[#This Row],[!type]]=J$1,"1","rg:None"),"-")</calculatedColumnFormula>
    </tableColumn>
    <tableColumn id="10" name="bulk" dataDxfId="36">
      <calculatedColumnFormula>IF(LEN(Table23[[#This Row],[!type]])&gt;0,IF(Table23[[#This Row],[!type]]=K$1,"1","rg:None"),"-")</calculatedColumnFormula>
    </tableColumn>
    <tableColumn id="11" name="getById" dataDxfId="35">
      <calculatedColumnFormula>IF(LEN(Table23[[#This Row],[!type]])&gt;0,IF(Table23[[#This Row],[!type]]=L$1,"1","rg:None"),"-")</calculatedColumnFormula>
    </tableColumn>
    <tableColumn id="12" name="putById" dataDxfId="34">
      <calculatedColumnFormula>IF(LEN(Table23[[#This Row],[!type]])&gt;0,IF(Table23[[#This Row],[!type]]=M$1,"1","rg:None"),"-")</calculatedColumnFormula>
    </tableColumn>
    <tableColumn id="13" name="deleteById" dataDxfId="33">
      <calculatedColumnFormula>IF(LEN(Table23[[#This Row],[!type]])&gt;0,IF(Table23[[#This Row],[!type]]=N$1,"1","rg:None"),"-")</calculatedColumnFormula>
    </tableColumn>
    <tableColumn id="14" name="fullpath" dataDxfId="32">
      <calculatedColumnFormula>IF(LEN(Table23[[#This Row],[!type]])&gt;0,IF(Table23[[#This Row],[!type]]=O$1,"1","rg:None"),"-")</calculatedColumnFormula>
    </tableColumn>
    <tableColumn id="15" name="idpath" dataDxfId="31">
      <calculatedColumnFormula>IF(LEN(Table23[[#This Row],[!type]])&gt;0,IF(Table23[[#This Row],[!type]]=P$1,"1","rg:None"),"-")</calculatedColumnFormula>
    </tableColumn>
    <tableColumn id="16" name="path" dataDxfId="30">
      <calculatedColumnFormula>IF(LEN(Table23[[#This Row],[!path]]) &gt;0,Table23[[#This Row],[!path]],"rg:None")</calculatedColumnFormula>
    </tableColumn>
    <tableColumn id="17" name="tag" dataDxfId="29">
      <calculatedColumnFormula>IF(LEN(Table23[[#This Row],[!tag]]) &gt;0,Table23[[#This Row],[!tag]],"rg:None")</calculatedColumnFormula>
    </tableColumn>
    <tableColumn id="18" name="paramDef" dataDxfId="28">
      <calculatedColumnFormula>IF(LEN(Table23[[#This Row],[!paramDef]]) &gt;0,Table23[[#This Row],[!paramDef]],"rg:None")</calculatedColumnFormula>
    </tableColumn>
    <tableColumn id="19" name="respDef" dataDxfId="27">
      <calculatedColumnFormula>IF(LEN(Table23[[#This Row],[!respDef]]) &gt;0,Table23[[#This Row],[!respDef]],"rg:None")</calculatedColumnFormula>
    </tableColumn>
    <tableColumn id="20" name="Description" dataDxfId="26">
      <calculatedColumnFormula>IF(LEN(Table23[[#This Row],[!Description]]) &gt;0,Table23[[#This Row],[!Description]],"rg:None")</calculatedColumnFormula>
    </tableColumn>
    <tableColumn id="22" name="x-codegen-permission" dataDxfId="25">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75"/>
  <sheetViews>
    <sheetView tabSelected="1" zoomScale="90" zoomScaleNormal="90" workbookViewId="0">
      <pane ySplit="1" topLeftCell="A56" activePane="bottomLeft" state="frozen"/>
      <selection pane="bottomLeft" activeCell="B72" sqref="B7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8" x14ac:dyDescent="0.3">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573</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217</v>
      </c>
      <c r="E5" s="79" t="s">
        <v>423</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230</v>
      </c>
      <c r="E7" s="128" t="s">
        <v>533</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430</v>
      </c>
      <c r="E9" s="135" t="s">
        <v>551</v>
      </c>
      <c r="F9" s="66" t="s">
        <v>426</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549</v>
      </c>
      <c r="E10" s="135" t="s">
        <v>550</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426</v>
      </c>
      <c r="B16" s="5" t="s">
        <v>4</v>
      </c>
      <c r="D16" s="66" t="s">
        <v>426</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426</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426</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426</v>
      </c>
      <c r="B19" s="26" t="s">
        <v>8</v>
      </c>
      <c r="C19" s="72"/>
      <c r="D19" s="26" t="s">
        <v>173</v>
      </c>
      <c r="E19" s="129" t="s">
        <v>534</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426</v>
      </c>
      <c r="B20" s="73" t="s">
        <v>7</v>
      </c>
      <c r="C20" s="72">
        <v>50</v>
      </c>
      <c r="D20" s="73" t="s">
        <v>230</v>
      </c>
      <c r="E20" s="74" t="s">
        <v>442</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426</v>
      </c>
      <c r="B21" s="26" t="s">
        <v>8</v>
      </c>
      <c r="C21" s="72"/>
      <c r="D21" s="140" t="s">
        <v>572</v>
      </c>
      <c r="E21" s="130" t="s">
        <v>535</v>
      </c>
      <c r="F21" s="140" t="s">
        <v>566</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426</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426</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426</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426</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426</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426</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426</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426</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426</v>
      </c>
      <c r="B30" s="21" t="s">
        <v>19</v>
      </c>
      <c r="C30" s="72"/>
      <c r="D30" s="164" t="s">
        <v>595</v>
      </c>
      <c r="E30" s="47"/>
      <c r="F30" s="88" t="s">
        <v>444</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426</v>
      </c>
      <c r="B31" s="64" t="s">
        <v>19</v>
      </c>
      <c r="C31" s="72"/>
      <c r="D31" s="66" t="s">
        <v>428</v>
      </c>
      <c r="E31" s="47"/>
      <c r="F31" s="66" t="s">
        <v>427</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444</v>
      </c>
      <c r="B32" s="73" t="s">
        <v>4</v>
      </c>
      <c r="C32" s="72"/>
      <c r="D32" s="73" t="s">
        <v>444</v>
      </c>
      <c r="E32" s="74" t="s">
        <v>445</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444</v>
      </c>
      <c r="B33" s="73" t="s">
        <v>6</v>
      </c>
      <c r="C33" s="72"/>
      <c r="D33" s="73" t="s">
        <v>6</v>
      </c>
      <c r="E33" s="89" t="s">
        <v>446</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444</v>
      </c>
      <c r="B34" s="73" t="s">
        <v>8</v>
      </c>
      <c r="C34" s="72"/>
      <c r="D34" s="73" t="s">
        <v>429</v>
      </c>
      <c r="E34" s="129" t="s">
        <v>536</v>
      </c>
      <c r="F34" s="84" t="s">
        <v>426</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444</v>
      </c>
      <c r="B35" s="73" t="s">
        <v>7</v>
      </c>
      <c r="C35" s="72">
        <v>150</v>
      </c>
      <c r="D35" s="73" t="s">
        <v>213</v>
      </c>
      <c r="E35" s="74" t="s">
        <v>447</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427</v>
      </c>
      <c r="B36" s="26" t="s">
        <v>4</v>
      </c>
      <c r="C36" s="72"/>
      <c r="D36" s="66" t="s">
        <v>427</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427</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427</v>
      </c>
      <c r="B38" s="61" t="s">
        <v>13</v>
      </c>
      <c r="C38" s="72"/>
      <c r="D38" s="64" t="s">
        <v>420</v>
      </c>
      <c r="E38" s="159" t="s">
        <v>594</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427</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427</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427</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427</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427</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427</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427</v>
      </c>
      <c r="B45" s="73" t="s">
        <v>7</v>
      </c>
      <c r="C45" s="73">
        <v>50</v>
      </c>
      <c r="D45" s="73" t="s">
        <v>456</v>
      </c>
      <c r="E45" s="74" t="s">
        <v>457</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427</v>
      </c>
      <c r="B46" s="73" t="s">
        <v>12</v>
      </c>
      <c r="C46" s="72"/>
      <c r="D46" s="73" t="s">
        <v>453</v>
      </c>
      <c r="E46" s="74" t="s">
        <v>454</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427</v>
      </c>
      <c r="B47" s="26" t="s">
        <v>7</v>
      </c>
      <c r="C47" s="72">
        <v>2048</v>
      </c>
      <c r="D47" s="73" t="s">
        <v>455</v>
      </c>
      <c r="E47" s="112" t="s">
        <v>460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427</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198</v>
      </c>
      <c r="B50" s="23" t="s">
        <v>6</v>
      </c>
      <c r="C50" s="72"/>
      <c r="D50" s="23" t="s">
        <v>6</v>
      </c>
      <c r="E50" s="54" t="s">
        <v>296</v>
      </c>
      <c r="F50" s="12"/>
      <c r="G50" s="25" t="s">
        <v>62</v>
      </c>
      <c r="H50" s="157" t="s">
        <v>62</v>
      </c>
      <c r="I50" s="4" t="str">
        <f t="shared" ref="I50:I86"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198</v>
      </c>
      <c r="B51" s="111" t="s">
        <v>7</v>
      </c>
      <c r="C51" s="72">
        <v>30</v>
      </c>
      <c r="D51" s="111" t="s">
        <v>488</v>
      </c>
      <c r="E51" s="112" t="s">
        <v>489</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198</v>
      </c>
      <c r="B52" s="73" t="s">
        <v>7</v>
      </c>
      <c r="C52" s="72">
        <v>50</v>
      </c>
      <c r="D52" s="73" t="s">
        <v>230</v>
      </c>
      <c r="E52" s="74" t="s">
        <v>443</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198</v>
      </c>
      <c r="B53" s="26" t="s">
        <v>8</v>
      </c>
      <c r="C53" s="72"/>
      <c r="D53" s="26" t="s">
        <v>178</v>
      </c>
      <c r="E53" s="129" t="s">
        <v>537</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198</v>
      </c>
      <c r="B54" s="23" t="s">
        <v>8</v>
      </c>
      <c r="C54" s="72"/>
      <c r="D54" s="23" t="s">
        <v>149</v>
      </c>
      <c r="E54" s="129" t="s">
        <v>538</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198</v>
      </c>
      <c r="B55" s="111" t="s">
        <v>19</v>
      </c>
      <c r="C55" s="72"/>
      <c r="D55" s="111" t="s">
        <v>473</v>
      </c>
      <c r="E55" s="47"/>
      <c r="F55" s="111" t="s">
        <v>461</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198</v>
      </c>
      <c r="B56" s="111" t="s">
        <v>19</v>
      </c>
      <c r="C56" s="72"/>
      <c r="D56" s="111" t="s">
        <v>480</v>
      </c>
      <c r="E56" s="47"/>
      <c r="F56" s="111" t="s">
        <v>474</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198</v>
      </c>
      <c r="B58" s="111" t="s">
        <v>7</v>
      </c>
      <c r="C58" s="72">
        <v>2048</v>
      </c>
      <c r="D58" s="111" t="s">
        <v>155</v>
      </c>
      <c r="E58" s="112" t="s">
        <v>481</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198</v>
      </c>
      <c r="B59" s="111" t="s">
        <v>12</v>
      </c>
      <c r="C59" s="72"/>
      <c r="D59" s="111" t="s">
        <v>482</v>
      </c>
      <c r="E59" s="112" t="s">
        <v>483</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198</v>
      </c>
      <c r="B60" s="111" t="s">
        <v>12</v>
      </c>
      <c r="C60" s="72"/>
      <c r="D60" s="111" t="s">
        <v>486</v>
      </c>
      <c r="E60" s="112" t="s">
        <v>484</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198</v>
      </c>
      <c r="B61" s="111" t="s">
        <v>13</v>
      </c>
      <c r="C61" s="72"/>
      <c r="D61" s="111" t="s">
        <v>485</v>
      </c>
      <c r="E61" s="112" t="s">
        <v>487</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198</v>
      </c>
      <c r="B62" s="111" t="s">
        <v>108</v>
      </c>
      <c r="C62" s="72"/>
      <c r="D62" s="111" t="s">
        <v>492</v>
      </c>
      <c r="E62" s="112" t="s">
        <v>495</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198</v>
      </c>
      <c r="B63" s="111" t="s">
        <v>7</v>
      </c>
      <c r="C63" s="72">
        <v>50</v>
      </c>
      <c r="D63" s="111" t="s">
        <v>467</v>
      </c>
      <c r="E63" s="112" t="s">
        <v>468</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198</v>
      </c>
      <c r="B64" s="111" t="s">
        <v>7</v>
      </c>
      <c r="C64" s="72">
        <v>2048</v>
      </c>
      <c r="D64" s="111" t="s">
        <v>496</v>
      </c>
      <c r="E64" s="112" t="s">
        <v>497</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461</v>
      </c>
      <c r="B65" s="111" t="s">
        <v>4</v>
      </c>
      <c r="C65" s="72"/>
      <c r="D65" s="111" t="s">
        <v>461</v>
      </c>
      <c r="E65" s="112" t="s">
        <v>462</v>
      </c>
      <c r="F65" s="12"/>
      <c r="G65" s="18"/>
      <c r="H65" s="18"/>
      <c r="I65" s="4" t="str">
        <f t="shared" ref="I65:I79"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 { 'req': 'isIncludedInTotal'} ]</v>
      </c>
      <c r="Y65" s="4" t="str">
        <f>IF(LEN(Table2[[#This Row],[!Unique]])&gt;0,IF(Table2[[#This Row],[!Type]] = "id", "rg:None","rg:True"),"rg:None")</f>
        <v>rg:None</v>
      </c>
    </row>
    <row r="66" spans="1:25" x14ac:dyDescent="0.3">
      <c r="A66" s="111" t="s">
        <v>461</v>
      </c>
      <c r="B66" s="111" t="s">
        <v>6</v>
      </c>
      <c r="C66" s="72"/>
      <c r="D66" s="111" t="s">
        <v>6</v>
      </c>
      <c r="E66" s="113" t="s">
        <v>463</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 { 'req': 'isIncludedInTotal'} ]</v>
      </c>
      <c r="Y66" s="4" t="str">
        <f>IF(LEN(Table2[[#This Row],[!Unique]])&gt;0,IF(Table2[[#This Row],[!Type]] = "id", "rg:None","rg:True"),"rg:None")</f>
        <v>rg:None</v>
      </c>
    </row>
    <row r="67" spans="1:25" x14ac:dyDescent="0.3">
      <c r="A67" s="111" t="s">
        <v>461</v>
      </c>
      <c r="B67" s="111" t="s">
        <v>8</v>
      </c>
      <c r="C67" s="72"/>
      <c r="D67" s="111" t="s">
        <v>199</v>
      </c>
      <c r="E67" s="129" t="s">
        <v>539</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 { 'req': 'isIncludedInTotal'} ]</v>
      </c>
      <c r="Y67" s="4" t="str">
        <f>IF(LEN(Table2[[#This Row],[!Unique]])&gt;0,IF(Table2[[#This Row],[!Type]] = "id", "rg:None","rg:True"),"rg:None")</f>
        <v>rg:None</v>
      </c>
    </row>
    <row r="68" spans="1:25" x14ac:dyDescent="0.3">
      <c r="A68" s="111" t="s">
        <v>461</v>
      </c>
      <c r="B68" s="111" t="s">
        <v>7</v>
      </c>
      <c r="C68" s="72">
        <v>150</v>
      </c>
      <c r="D68" s="111" t="s">
        <v>471</v>
      </c>
      <c r="E68" s="112" t="s">
        <v>472</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 { 'req': 'isIncludedInTotal'} ]</v>
      </c>
      <c r="Y68" s="4" t="str">
        <f>IF(LEN(Table2[[#This Row],[!Unique]])&gt;0,IF(Table2[[#This Row],[!Type]] = "id", "rg:None","rg:True"),"rg:None")</f>
        <v>rg:None</v>
      </c>
    </row>
    <row r="69" spans="1:25" x14ac:dyDescent="0.3">
      <c r="A69" s="111" t="s">
        <v>461</v>
      </c>
      <c r="B69" s="111" t="s">
        <v>9</v>
      </c>
      <c r="C69" s="72"/>
      <c r="D69" s="111" t="s">
        <v>493</v>
      </c>
      <c r="E69" s="112" t="s">
        <v>494</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 { 'req': 'isIncludedInTotal'} ]</v>
      </c>
      <c r="Y69" s="4" t="str">
        <f>IF(LEN(Table2[[#This Row],[!Unique]])&gt;0,IF(Table2[[#This Row],[!Type]] = "id", "rg:None","rg:True"),"rg:None")</f>
        <v>rg:None</v>
      </c>
    </row>
    <row r="70" spans="1:25" x14ac:dyDescent="0.3">
      <c r="A70" s="111" t="s">
        <v>461</v>
      </c>
      <c r="B70" s="111" t="s">
        <v>108</v>
      </c>
      <c r="C70" s="72"/>
      <c r="D70" s="111" t="s">
        <v>144</v>
      </c>
      <c r="E70" s="112" t="s">
        <v>464</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 { 'req': 'isIncludedInTotal'} ]</v>
      </c>
      <c r="Y70" s="4" t="str">
        <f>IF(LEN(Table2[[#This Row],[!Unique]])&gt;0,IF(Table2[[#This Row],[!Type]] = "id", "rg:None","rg:True"),"rg:None")</f>
        <v>rg:None</v>
      </c>
    </row>
    <row r="71" spans="1:25" ht="28.8" x14ac:dyDescent="0.3">
      <c r="A71" s="111" t="s">
        <v>461</v>
      </c>
      <c r="B71" s="181" t="s">
        <v>108</v>
      </c>
      <c r="C71" s="72"/>
      <c r="D71" s="111" t="s">
        <v>465</v>
      </c>
      <c r="E71" s="112" t="s">
        <v>466</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float</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 { 'req': 'isIncludedInTotal'} ]</v>
      </c>
      <c r="Y71" s="4" t="str">
        <f>IF(LEN(Table2[[#This Row],[!Unique]])&gt;0,IF(Table2[[#This Row],[!Type]] = "id", "rg:None","rg:True"),"rg:None")</f>
        <v>rg:None</v>
      </c>
    </row>
    <row r="72" spans="1:25" ht="28.8" x14ac:dyDescent="0.3">
      <c r="A72" s="111" t="s">
        <v>461</v>
      </c>
      <c r="B72" s="111" t="s">
        <v>7</v>
      </c>
      <c r="C72" s="72">
        <v>50</v>
      </c>
      <c r="D72" s="111" t="s">
        <v>467</v>
      </c>
      <c r="E72" s="112" t="s">
        <v>468</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 { 'req': 'isIncludedInTotal'} ]</v>
      </c>
      <c r="Y72" s="4" t="str">
        <f>IF(LEN(Table2[[#This Row],[!Unique]])&gt;0,IF(Table2[[#This Row],[!Type]] = "id", "rg:None","rg:True"),"rg:None")</f>
        <v>rg:None</v>
      </c>
    </row>
    <row r="73" spans="1:25" x14ac:dyDescent="0.3">
      <c r="A73" s="111" t="s">
        <v>461</v>
      </c>
      <c r="B73" s="111" t="s">
        <v>7</v>
      </c>
      <c r="C73" s="72">
        <v>2048</v>
      </c>
      <c r="D73" s="111" t="s">
        <v>469</v>
      </c>
      <c r="E73" s="112" t="s">
        <v>470</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 { 'req': 'isIncludedInTotal'} ]</v>
      </c>
      <c r="Y73" s="4" t="str">
        <f>IF(LEN(Table2[[#This Row],[!Unique]])&gt;0,IF(Table2[[#This Row],[!Type]] = "id", "rg:None","rg:True"),"rg:None")</f>
        <v>rg:None</v>
      </c>
    </row>
    <row r="74" spans="1:25" x14ac:dyDescent="0.3">
      <c r="A74" s="111" t="s">
        <v>461</v>
      </c>
      <c r="B74" s="173" t="s">
        <v>9</v>
      </c>
      <c r="C74" s="72"/>
      <c r="D74" s="173" t="s">
        <v>620</v>
      </c>
      <c r="E74" s="179" t="s">
        <v>621</v>
      </c>
      <c r="F74" s="12"/>
      <c r="G74" s="180" t="s">
        <v>62</v>
      </c>
      <c r="H74" s="18"/>
      <c r="I74" s="4" t="str">
        <f>IF(LEN(A74) &gt; 0,"Defs","-")</f>
        <v>Defs</v>
      </c>
      <c r="J74" s="4" t="str">
        <f>IF(Table2[[#This Row],[!Type]]=J$1, J$1,"rg:None")</f>
        <v>boolean</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isIncludedInTotal</v>
      </c>
      <c r="V74" s="4" t="str">
        <f>IF(LEN(Table2[[#This Row],[!Description]]) &gt; 0, Table2[[#This Row],[!Description]], "rg:None")</f>
        <v>Indicates if this rate is added to the total in the rental agreement.</v>
      </c>
      <c r="W74" s="4" t="str">
        <f>IF(LEN(Table2[[#This Row],[!FK]])&gt;0,Table2[[#This Row],[!FK]],"rg:None")</f>
        <v>rg:None</v>
      </c>
      <c r="X74" s="14" t="str">
        <f>IF(LEN(concatif2(A:A,Table2[[#This Row],[!Table]],G:G,"Y",D:D,",")) &gt; 0,"rg:[ { 'req' : '"&amp;concatif2(A:A,Table2[[#This Row],[!Table]],G:G,"Y",D:D,"' }, { 'req': '")&amp;"'} ]","rg:[]")</f>
        <v>rg:[ { 'req' : 'id' }, { 'req': 'rentalAgreement' }, { 'req': 'isIncludedInTotal'} ]</v>
      </c>
      <c r="Y74" s="4" t="str">
        <f>IF(LEN(Table2[[#This Row],[!Unique]])&gt;0,IF(Table2[[#This Row],[!Type]] = "id", "rg:None","rg:True"),"rg:None")</f>
        <v>rg:None</v>
      </c>
    </row>
    <row r="75" spans="1:25" x14ac:dyDescent="0.3">
      <c r="A75" s="111" t="s">
        <v>461</v>
      </c>
      <c r="B75" s="111" t="s">
        <v>19</v>
      </c>
      <c r="C75" s="72"/>
      <c r="D75" s="111" t="s">
        <v>200</v>
      </c>
      <c r="E75" s="47"/>
      <c r="F75" s="115" t="s">
        <v>201</v>
      </c>
      <c r="G75" s="18"/>
      <c r="H75" s="18"/>
      <c r="I75" s="4" t="str">
        <f>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links</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timeRecords</v>
      </c>
      <c r="V75" s="4" t="str">
        <f>IF(LEN(Table2[[#This Row],[!Description]]) &gt; 0, Table2[[#This Row],[!Description]], "rg:None")</f>
        <v>rg:None</v>
      </c>
      <c r="W75" s="4" t="str">
        <f>IF(LEN(Table2[[#This Row],[!FK]])&gt;0,Table2[[#This Row],[!FK]],"rg:None")</f>
        <v>TimeRecord</v>
      </c>
      <c r="X75" s="14" t="str">
        <f>IF(LEN(concatif2(A:A,Table2[[#This Row],[!Table]],G:G,"Y",D:D,",")) &gt; 0,"rg:[ { 'req' : '"&amp;concatif2(A:A,Table2[[#This Row],[!Table]],G:G,"Y",D:D,"' }, { 'req': '")&amp;"'} ]","rg:[]")</f>
        <v>rg:[ { 'req' : 'id' }, { 'req': 'rentalAgreement' }, { 'req': 'isIncludedInTotal'} ]</v>
      </c>
      <c r="Y75" s="4" t="str">
        <f>IF(LEN(Table2[[#This Row],[!Unique]])&gt;0,IF(Table2[[#This Row],[!Type]] = "id", "rg:None","rg:True"),"rg:None")</f>
        <v>rg:None</v>
      </c>
    </row>
    <row r="76" spans="1:25" x14ac:dyDescent="0.3">
      <c r="A76" s="111" t="s">
        <v>474</v>
      </c>
      <c r="B76" s="111" t="s">
        <v>4</v>
      </c>
      <c r="C76" s="72"/>
      <c r="D76" s="111" t="s">
        <v>474</v>
      </c>
      <c r="E76" s="112" t="s">
        <v>475</v>
      </c>
      <c r="F76" s="12"/>
      <c r="G76" s="18"/>
      <c r="H76" s="18"/>
      <c r="I76" s="4" t="str">
        <f t="shared" ref="I76:I77" si="10">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table</v>
      </c>
      <c r="T76" s="4" t="str">
        <f>IF(LEN(Table2[[#This Row],[!Length]]) &gt; 0, Table2[[#This Row],[!Length]], "rg:None")</f>
        <v>rg:None</v>
      </c>
      <c r="U76" s="4" t="str">
        <f>IF(LEN(Table2[[#This Row],[!Name]]) &gt; 0, Table2[[#This Row],[!Name]], "rg:None")</f>
        <v>RentalAgreementCondition</v>
      </c>
      <c r="V76" s="4" t="str">
        <f>IF(LEN(Table2[[#This Row],[!Description]]) &gt; 0, Table2[[#This Row],[!Description]], "rg:None")</f>
        <v>A condition about the rental agreement to be displayed on the Rental Agreement.</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474</v>
      </c>
      <c r="B77" s="111" t="s">
        <v>6</v>
      </c>
      <c r="C77" s="72"/>
      <c r="D77" s="111" t="s">
        <v>6</v>
      </c>
      <c r="E77" s="113" t="s">
        <v>476</v>
      </c>
      <c r="F77" s="12"/>
      <c r="G77" s="157" t="s">
        <v>62</v>
      </c>
      <c r="H77" s="157" t="s">
        <v>62</v>
      </c>
      <c r="I77" s="4" t="str">
        <f t="shared" si="10"/>
        <v>Defs</v>
      </c>
      <c r="J77" s="4" t="str">
        <f>IF(Table2[[#This Row],[!Type]]=J$1, J$1,"rg:None")</f>
        <v>rg:None</v>
      </c>
      <c r="K77" s="4" t="str">
        <f>IF(Table2[[#This Row],[!Type]]=K$1, K$1,"rg:None")</f>
        <v>rg:None</v>
      </c>
      <c r="L77" s="4" t="str">
        <f>IF(Table2[[#This Row],[!Type]]=L$1, L$1,"rg:None")</f>
        <v>rg:None</v>
      </c>
      <c r="M77" s="4" t="str">
        <f>IF(Table2[[#This Row],[!Type]]=M$1, M$1,"rg:None")</f>
        <v>id</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id</v>
      </c>
      <c r="V77" s="4" t="str">
        <f>IF(LEN(Table2[[#This Row],[!Description]]) &gt; 0, Table2[[#This Row],[!Description]], "rg:None")</f>
        <v>A system-generated unique identifier for a RentalAgreementCondition</v>
      </c>
      <c r="W77" s="4" t="str">
        <f>IF(LEN(Table2[[#This Row],[!FK]])&gt;0,Table2[[#This Row],[!FK]],"rg:None")</f>
        <v>rg:None</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474</v>
      </c>
      <c r="B78" s="111" t="s">
        <v>8</v>
      </c>
      <c r="C78" s="72"/>
      <c r="D78" s="111" t="s">
        <v>199</v>
      </c>
      <c r="E78" s="129" t="s">
        <v>539</v>
      </c>
      <c r="F78" s="27" t="s">
        <v>198</v>
      </c>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ref</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rentalAgreement</v>
      </c>
      <c r="V78" s="4" t="str">
        <f>IF(LEN(Table2[[#This Row],[!Description]]) &gt; 0, Table2[[#This Row],[!Description]], "rg:None")</f>
        <v>A foreign key reference to the system-generated unique identifier for a Rental Agreement</v>
      </c>
      <c r="W78" s="4" t="str">
        <f>IF(LEN(Table2[[#This Row],[!FK]])&gt;0,Table2[[#This Row],[!FK]],"rg:None")</f>
        <v>RentalAgreement</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474</v>
      </c>
      <c r="B79" s="111" t="s">
        <v>7</v>
      </c>
      <c r="C79" s="72">
        <v>150</v>
      </c>
      <c r="D79" s="111" t="s">
        <v>477</v>
      </c>
      <c r="E79" s="112" t="s">
        <v>478</v>
      </c>
      <c r="F79" s="12"/>
      <c r="G79" s="157" t="s">
        <v>62</v>
      </c>
      <c r="H79" s="18"/>
      <c r="I79" s="4" t="str">
        <f t="shared" si="9"/>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150</v>
      </c>
      <c r="U79" s="4" t="str">
        <f>IF(LEN(Table2[[#This Row],[!Name]]) &gt; 0, Table2[[#This Row],[!Name]], "rg:None")</f>
        <v>conditionName</v>
      </c>
      <c r="V79" s="4" t="str">
        <f>IF(LEN(Table2[[#This Row],[!Description]]) &gt; 0, Table2[[#This Row],[!Description]], "rg:None")</f>
        <v>The name of the condition to be placed onto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x14ac:dyDescent="0.3">
      <c r="A80" s="111" t="s">
        <v>474</v>
      </c>
      <c r="B80" s="111" t="s">
        <v>7</v>
      </c>
      <c r="C80" s="72">
        <v>2048</v>
      </c>
      <c r="D80" s="111" t="s">
        <v>469</v>
      </c>
      <c r="E80" s="112" t="s">
        <v>479</v>
      </c>
      <c r="F80" s="12"/>
      <c r="G80" s="18"/>
      <c r="H80" s="18"/>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string</v>
      </c>
      <c r="S80" s="4" t="str">
        <f>IF(Table2[[#This Row],[!Type]]=S$1, S$1,"rg:None")</f>
        <v>rg:None</v>
      </c>
      <c r="T80" s="4">
        <f>IF(LEN(Table2[[#This Row],[!Length]]) &gt; 0, Table2[[#This Row],[!Length]], "rg:None")</f>
        <v>2048</v>
      </c>
      <c r="U80" s="4" t="str">
        <f>IF(LEN(Table2[[#This Row],[!Name]]) &gt; 0, Table2[[#This Row],[!Name]], "rg:None")</f>
        <v>comment</v>
      </c>
      <c r="V80" s="4" t="str">
        <f>IF(LEN(Table2[[#This Row],[!Description]]) &gt; 0, Table2[[#This Row],[!Description]], "rg:None")</f>
        <v>A comment about the condition to be applied to the Rental Agreement.</v>
      </c>
      <c r="W80" s="4" t="str">
        <f>IF(LEN(Table2[[#This Row],[!FK]])&gt;0,Table2[[#This Row],[!FK]],"rg:None")</f>
        <v>rg:None</v>
      </c>
      <c r="X80" s="14" t="str">
        <f>IF(LEN(concatif2(A:A,Table2[[#This Row],[!Table]],G:G,"Y",D:D,",")) &gt; 0,"rg:[ { 'req' : '"&amp;concatif2(A:A,Table2[[#This Row],[!Table]],G:G,"Y",D:D,"' }, { 'req': '")&amp;"'} ]","rg:[]")</f>
        <v>rg:[ { 'req' : 'id' }, { 'req': 'rentalAgreement' }, { 'req': 'conditionName'} ]</v>
      </c>
      <c r="Y80" s="4" t="str">
        <f>IF(LEN(Table2[[#This Row],[!Unique]])&gt;0,IF(Table2[[#This Row],[!Type]] = "id", "rg:None","rg:True"),"rg:None")</f>
        <v>rg:None</v>
      </c>
    </row>
    <row r="81" spans="1:25" ht="28.8" x14ac:dyDescent="0.3">
      <c r="A81" s="27" t="s">
        <v>201</v>
      </c>
      <c r="B81" s="26" t="s">
        <v>4</v>
      </c>
      <c r="C81" s="72"/>
      <c r="D81" s="27" t="s">
        <v>201</v>
      </c>
      <c r="E81" s="60" t="s">
        <v>362</v>
      </c>
      <c r="F81" s="12"/>
      <c r="G81" s="18"/>
      <c r="H81" s="18"/>
      <c r="I81" s="4" t="str">
        <f t="shared" si="5"/>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TimeRecord</v>
      </c>
      <c r="V81" s="4" t="str">
        <f>IF(LEN(Table2[[#This Row],[!Description]]) &gt; 0, Table2[[#This Row],[!Description]], "rg:None")</f>
        <v>A record of time worked for a piece of equipment hired for a specific project within a Local Area.</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201</v>
      </c>
      <c r="B82" s="23" t="s">
        <v>6</v>
      </c>
      <c r="C82" s="72"/>
      <c r="D82" s="23" t="s">
        <v>6</v>
      </c>
      <c r="E82" s="54" t="s">
        <v>295</v>
      </c>
      <c r="F82" s="12"/>
      <c r="G82" s="25" t="s">
        <v>62</v>
      </c>
      <c r="H82" s="157" t="s">
        <v>62</v>
      </c>
      <c r="I82" s="4" t="str">
        <f t="shared" si="5"/>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TimeRecord</v>
      </c>
      <c r="W82" s="4" t="str">
        <f>IF(LEN(Table2[[#This Row],[!FK]])&gt;0,Table2[[#This Row],[!FK]],"rg:None")</f>
        <v>rg:None</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x14ac:dyDescent="0.3">
      <c r="A83" s="27" t="s">
        <v>201</v>
      </c>
      <c r="B83" s="26" t="s">
        <v>8</v>
      </c>
      <c r="C83" s="72"/>
      <c r="D83" s="26" t="s">
        <v>199</v>
      </c>
      <c r="E83" s="129" t="s">
        <v>539</v>
      </c>
      <c r="F83" s="27" t="s">
        <v>198</v>
      </c>
      <c r="G83" s="157" t="s">
        <v>62</v>
      </c>
      <c r="H83" s="18"/>
      <c r="I83" s="4" t="str">
        <f t="shared" si="5"/>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v>
      </c>
      <c r="V83" s="4" t="str">
        <f>IF(LEN(Table2[[#This Row],[!Description]]) &gt; 0, Table2[[#This Row],[!Description]], "rg:None")</f>
        <v>A foreign key reference to the system-generated unique identifier for a Rental Agreement</v>
      </c>
      <c r="W83" s="4" t="str">
        <f>IF(LEN(Table2[[#This Row],[!FK]])&gt;0,Table2[[#This Row],[!FK]],"rg:None")</f>
        <v>RentalAgreement</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1" t="s">
        <v>201</v>
      </c>
      <c r="B84" s="111" t="s">
        <v>8</v>
      </c>
      <c r="C84" s="72"/>
      <c r="D84" s="111" t="s">
        <v>490</v>
      </c>
      <c r="E84" s="112" t="s">
        <v>491</v>
      </c>
      <c r="F84" s="115" t="s">
        <v>461</v>
      </c>
      <c r="G84" s="18"/>
      <c r="H84" s="18"/>
      <c r="I84" s="4" t="str">
        <f>IF(LEN(A84) &gt; 0,"Defs","-")</f>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rentalAgreementRate</v>
      </c>
      <c r="V84" s="4" t="str">
        <f>IF(LEN(Table2[[#This Row],[!Description]]) &gt; 0, Table2[[#This Row],[!Description]], "rg:None")</f>
        <v>The Rental Agreement Rate component to which this Rental Agreement applies. If null, this time applies to the equipment itself.</v>
      </c>
      <c r="W84" s="4" t="str">
        <f>IF(LEN(Table2[[#This Row],[!FK]])&gt;0,Table2[[#This Row],[!FK]],"rg:None")</f>
        <v>RentalAgreementRate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ht="28.8" x14ac:dyDescent="0.3">
      <c r="A85" s="115" t="s">
        <v>201</v>
      </c>
      <c r="B85" s="91" t="s">
        <v>12</v>
      </c>
      <c r="D85" s="91" t="s">
        <v>202</v>
      </c>
      <c r="E85" s="48" t="s">
        <v>228</v>
      </c>
      <c r="F85" s="12"/>
      <c r="G85" s="157" t="s">
        <v>62</v>
      </c>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workedDate</v>
      </c>
      <c r="V85" s="4" t="str">
        <f>IF(LEN(Table2[[#This Row],[!Description]]) &gt; 0, Table2[[#This Row],[!Description]], "rg:None")</f>
        <v>The date of the time record entry - the day of the entry if it is a daily entry, or a date in the week in which the work occurred if tracked weekly.</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x14ac:dyDescent="0.3">
      <c r="A86" s="27" t="s">
        <v>201</v>
      </c>
      <c r="B86" s="91" t="s">
        <v>12</v>
      </c>
      <c r="D86" s="91" t="s">
        <v>203</v>
      </c>
      <c r="E86" s="50" t="s">
        <v>352</v>
      </c>
      <c r="F86" s="12"/>
      <c r="G86" s="18"/>
      <c r="H86" s="18"/>
      <c r="I86" s="4" t="str">
        <f t="shared" si="5"/>
        <v>Defs</v>
      </c>
      <c r="J86" s="4" t="str">
        <f>IF(Table2[[#This Row],[!Type]]=J$1, J$1,"rg:None")</f>
        <v>rg:None</v>
      </c>
      <c r="K86" s="4" t="str">
        <f>IF(Table2[[#This Row],[!Type]]=K$1, K$1,"rg:None")</f>
        <v>rg:None</v>
      </c>
      <c r="L86" s="4" t="str">
        <f>IF(Table2[[#This Row],[!Type]]=L$1, L$1,"rg:None")</f>
        <v>datetime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enteredDate</v>
      </c>
      <c r="V86" s="4" t="str">
        <f>IF(LEN(Table2[[#This Row],[!Description]]) &gt; 0, Table2[[#This Row],[!Description]], "rg:None")</f>
        <v>The date-time the time record information was entered.</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ht="28.8" x14ac:dyDescent="0.3">
      <c r="A87" s="40" t="s">
        <v>201</v>
      </c>
      <c r="B87" s="40" t="s">
        <v>7</v>
      </c>
      <c r="C87" s="72">
        <v>20</v>
      </c>
      <c r="D87" s="40" t="s">
        <v>226</v>
      </c>
      <c r="E87" s="48" t="s">
        <v>227</v>
      </c>
      <c r="F87" s="12"/>
      <c r="G87" s="18"/>
      <c r="H87" s="18"/>
      <c r="I87" s="4" t="str">
        <f>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20</v>
      </c>
      <c r="U87" s="4" t="str">
        <f>IF(LEN(Table2[[#This Row],[!Name]]) &gt; 0, Table2[[#This Row],[!Name]], "rg:None")</f>
        <v>timePeriod</v>
      </c>
      <c r="V87" s="4" t="str">
        <f>IF(LEN(Table2[[#This Row],[!Description]]) &gt; 0, Table2[[#This Row],[!Description]], "rg:None")</f>
        <v>The time period of the entry - either day or week. HETS Clerk have the option of entering time records on a day-by-day or week-by-week basis.</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x14ac:dyDescent="0.3">
      <c r="A88" s="27" t="s">
        <v>201</v>
      </c>
      <c r="B88" s="5" t="s">
        <v>108</v>
      </c>
      <c r="D88" s="5" t="s">
        <v>143</v>
      </c>
      <c r="E88" s="48" t="s">
        <v>229</v>
      </c>
      <c r="F88" s="12"/>
      <c r="G88" s="157" t="s">
        <v>62</v>
      </c>
      <c r="H88" s="18"/>
      <c r="I88" s="4" t="str">
        <f t="shared" ref="I88" si="11">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float</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hours</v>
      </c>
      <c r="V88" s="4" t="str">
        <f>IF(LEN(Table2[[#This Row],[!Description]]) &gt; 0, Table2[[#This Row],[!Description]], "rg:None")</f>
        <v>The number of hours worked by the equipment.</v>
      </c>
      <c r="W88" s="4" t="str">
        <f>IF(LEN(Table2[[#This Row],[!FK]])&gt;0,Table2[[#This Row],[!FK]],"rg:None")</f>
        <v>rg:None</v>
      </c>
      <c r="X88" s="14" t="str">
        <f>IF(LEN(concatif2(A:A,Table2[[#This Row],[!Table]],G:G,"Y",D:D,",")) &gt; 0,"rg:[ { 'req' : '"&amp;concatif2(A:A,Table2[[#This Row],[!Table]],G:G,"Y",D:D,"' }, { 'req': '")&amp;"'} ]","rg:[]")</f>
        <v>rg:[ { 'req' : 'id' }, { 'req': 'rentalAgreement' }, { 'req': 'workedDate' }, { 'req': 'hours'} ]</v>
      </c>
      <c r="Y88" s="4" t="str">
        <f>IF(LEN(Table2[[#This Row],[!Unique]])&gt;0,IF(Table2[[#This Row],[!Type]] = "id", "rg:None","rg:True"),"rg:None")</f>
        <v>rg:None</v>
      </c>
    </row>
    <row r="89" spans="1:25" ht="28.8" x14ac:dyDescent="0.3">
      <c r="A89" s="82" t="s">
        <v>180</v>
      </c>
      <c r="B89" s="5" t="s">
        <v>4</v>
      </c>
      <c r="D89" s="82" t="s">
        <v>180</v>
      </c>
      <c r="E89" s="76" t="s">
        <v>363</v>
      </c>
      <c r="F89" s="5" t="s">
        <v>5</v>
      </c>
      <c r="G89" s="4"/>
      <c r="H89" s="4"/>
      <c r="I89" s="4" t="str">
        <f t="shared" ref="I89:I97" si="12">IF(LEN(A89) &gt; 0,"Defs","-")</f>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table</v>
      </c>
      <c r="T89" s="4" t="str">
        <f>IF(LEN(Table2[[#This Row],[!Length]]) &gt; 0, Table2[[#This Row],[!Length]], "rg:None")</f>
        <v>rg:None</v>
      </c>
      <c r="U89" s="4" t="str">
        <f>IF(LEN(Table2[[#This Row],[!Name]]) &gt; 0, Table2[[#This Row],[!Name]], "rg:None")</f>
        <v>Equipment</v>
      </c>
      <c r="V89" s="4" t="str">
        <f>IF(LEN(Table2[[#This Row],[!Description]]) &gt; 0, Table2[[#This Row],[!Description]], "rg:None")</f>
        <v>A piece of equipment in the HETS system. Each piece of equipment is of a specific equipment type, owned by an Owner, and is within a Local Area.</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6</v>
      </c>
      <c r="D90" s="5" t="s">
        <v>6</v>
      </c>
      <c r="E90" s="54" t="s">
        <v>294</v>
      </c>
      <c r="F90" s="5" t="s">
        <v>5</v>
      </c>
      <c r="G90" s="4" t="s">
        <v>62</v>
      </c>
      <c r="H90" s="158" t="s">
        <v>62</v>
      </c>
      <c r="I90" s="4" t="str">
        <f t="shared" si="12"/>
        <v>Defs</v>
      </c>
      <c r="J90" s="4" t="str">
        <f>IF(Table2[[#This Row],[!Type]]=J$1, J$1,"rg:None")</f>
        <v>rg:None</v>
      </c>
      <c r="K90" s="4" t="str">
        <f>IF(Table2[[#This Row],[!Type]]=K$1, K$1,"rg:None")</f>
        <v>rg:None</v>
      </c>
      <c r="L90" s="4" t="str">
        <f>IF(Table2[[#This Row],[!Type]]=L$1, L$1,"rg:None")</f>
        <v>rg:None</v>
      </c>
      <c r="M90" s="4" t="str">
        <f>IF(Table2[[#This Row],[!Type]]=M$1, M$1,"rg:None")</f>
        <v>id</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id</v>
      </c>
      <c r="V90" s="4" t="str">
        <f>IF(LEN(Table2[[#This Row],[!Description]]) &gt; 0, Table2[[#This Row],[!Description]], "rg:None")</f>
        <v>A system-generated unique identifier for a Equipment</v>
      </c>
      <c r="W90" s="4" t="str">
        <f>IF(LEN(Table2[[#This Row],[!FK]])&gt;0,Table2[[#This Row],[!FK]],"rg:None")</f>
        <v>rg:None</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82" t="s">
        <v>173</v>
      </c>
      <c r="E91" s="130" t="s">
        <v>534</v>
      </c>
      <c r="F91" s="82" t="s">
        <v>151</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localArea</v>
      </c>
      <c r="V91" s="4" t="str">
        <f>IF(LEN(Table2[[#This Row],[!Description]]) &gt; 0, Table2[[#This Row],[!Description]], "rg:None")</f>
        <v>A foreign key reference to the system-generated unique identifier for a Local Area</v>
      </c>
      <c r="W91" s="4" t="str">
        <f>IF(LEN(Table2[[#This Row],[!FK]])&gt;0,Table2[[#This Row],[!FK]],"rg:None")</f>
        <v>LocalArea</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140" t="s">
        <v>572</v>
      </c>
      <c r="E92" s="130" t="s">
        <v>540</v>
      </c>
      <c r="F92" s="140" t="s">
        <v>566</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districtEquipmentType</v>
      </c>
      <c r="V92" s="4" t="str">
        <f>IF(LEN(Table2[[#This Row],[!Description]]) &gt; 0, Table2[[#This Row],[!Description]], "rg:None")</f>
        <v>A foreign key reference to the system-generated unique identifier for a Equipment Type</v>
      </c>
      <c r="W92" s="4" t="str">
        <f>IF(LEN(Table2[[#This Row],[!FK]])&gt;0,Table2[[#This Row],[!FK]],"rg:None")</f>
        <v>DistrictEquipmentType</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x14ac:dyDescent="0.3">
      <c r="A93" s="82" t="s">
        <v>180</v>
      </c>
      <c r="B93" s="5" t="s">
        <v>8</v>
      </c>
      <c r="D93" s="82" t="s">
        <v>148</v>
      </c>
      <c r="E93" s="130" t="s">
        <v>541</v>
      </c>
      <c r="F93" s="21" t="s">
        <v>145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ref</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owner</v>
      </c>
      <c r="V93" s="4" t="str">
        <f>IF(LEN(Table2[[#This Row],[!Description]]) &gt; 0, Table2[[#This Row],[!Description]], "rg:None")</f>
        <v>A foreign key reference to the system-generated unique identifier for an Owner</v>
      </c>
      <c r="W93" s="4" t="str">
        <f>IF(LEN(Table2[[#This Row],[!FK]])&gt;0,Table2[[#This Row],[!FK]],"rg:None")</f>
        <v>Owner</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57.6" x14ac:dyDescent="0.3">
      <c r="A94" s="82" t="s">
        <v>180</v>
      </c>
      <c r="B94" s="5" t="s">
        <v>7</v>
      </c>
      <c r="C94" s="5">
        <v>25</v>
      </c>
      <c r="D94" s="88" t="s">
        <v>450</v>
      </c>
      <c r="E94" s="76" t="s">
        <v>392</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25</v>
      </c>
      <c r="U94" s="4" t="str">
        <f>IF(LEN(Table2[[#This Row],[!Name]]) &gt; 0, Table2[[#This Row],[!Name]], "rg:None")</f>
        <v>equipmentCode</v>
      </c>
      <c r="V94"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ht="28.8" x14ac:dyDescent="0.3">
      <c r="A95" s="82" t="s">
        <v>180</v>
      </c>
      <c r="B95" s="5" t="s">
        <v>7</v>
      </c>
      <c r="C95" s="5">
        <v>50</v>
      </c>
      <c r="D95" s="92" t="s">
        <v>230</v>
      </c>
      <c r="E95" s="93" t="s">
        <v>231</v>
      </c>
      <c r="F95" s="5" t="s">
        <v>5</v>
      </c>
      <c r="G95" s="158" t="s">
        <v>62</v>
      </c>
      <c r="H95" s="4"/>
      <c r="I95" s="4" t="str">
        <f t="shared" si="12"/>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50</v>
      </c>
      <c r="U95" s="4" t="str">
        <f>IF(LEN(Table2[[#This Row],[!Name]]) &gt; 0, Table2[[#This Row],[!Name]], "rg:None")</f>
        <v>status</v>
      </c>
      <c r="V95" s="4" t="str">
        <f>IF(LEN(Table2[[#This Row],[!Description]]) &gt; 0, Table2[[#This Row],[!Description]], "rg:None")</f>
        <v>The current status of the equipment in a UI-controlled string. Initial values are Pending, Approved and Archived, but other values may be added.</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x14ac:dyDescent="0.3">
      <c r="A96" s="82" t="s">
        <v>180</v>
      </c>
      <c r="B96" s="82" t="s">
        <v>12</v>
      </c>
      <c r="D96" s="82" t="s">
        <v>185</v>
      </c>
      <c r="E96" s="93" t="s">
        <v>232</v>
      </c>
      <c r="F96" s="5" t="s">
        <v>5</v>
      </c>
      <c r="G96" s="158" t="s">
        <v>62</v>
      </c>
      <c r="H96" s="4"/>
      <c r="I96" s="4" t="str">
        <f>IF(LEN(A96) &gt; 0,"Defs","-")</f>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receivedDate</v>
      </c>
      <c r="V96" s="4" t="str">
        <f>IF(LEN(Table2[[#This Row],[!Description]]) &gt; 0, Table2[[#This Row],[!Description]], "rg:None")</f>
        <v>The date the piece of equipment was first received and recorded in HETS.</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82" t="s">
        <v>12</v>
      </c>
      <c r="D97" s="82" t="s">
        <v>184</v>
      </c>
      <c r="E97" s="93" t="s">
        <v>233</v>
      </c>
      <c r="F97" s="5" t="s">
        <v>5</v>
      </c>
      <c r="G97" s="4"/>
      <c r="H97" s="4"/>
      <c r="I97" s="4" t="str">
        <f t="shared" si="12"/>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approvedDate</v>
      </c>
      <c r="V97" s="4" t="str">
        <f>IF(LEN(Table2[[#This Row],[!Description]]) &gt; 0, Table2[[#This Row],[!Description]], "rg:None")</f>
        <v>The date the piece of equipment was first approved in HETS. Part of the seniority calculation for a piece of equipment is based on this date.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28.8" x14ac:dyDescent="0.3">
      <c r="A98" s="82" t="s">
        <v>180</v>
      </c>
      <c r="B98" s="94" t="s">
        <v>12</v>
      </c>
      <c r="D98" s="94" t="s">
        <v>211</v>
      </c>
      <c r="E98" s="93" t="s">
        <v>234</v>
      </c>
      <c r="F98" s="5" t="s">
        <v>5</v>
      </c>
      <c r="G98" s="158" t="s">
        <v>62</v>
      </c>
      <c r="H98" s="4"/>
      <c r="I98" s="4" t="str">
        <f t="shared" ref="I98:I122" si="13">IF(LEN(A98) &gt; 0,"Defs","-")</f>
        <v>Defs</v>
      </c>
      <c r="J98" s="4" t="str">
        <f>IF(Table2[[#This Row],[!Type]]=J$1, J$1,"rg:None")</f>
        <v>rg:None</v>
      </c>
      <c r="K98" s="4" t="str">
        <f>IF(Table2[[#This Row],[!Type]]=K$1, K$1,"rg:None")</f>
        <v>rg:None</v>
      </c>
      <c r="L98" s="4" t="str">
        <f>IF(Table2[[#This Row],[!Type]]=L$1, L$1,"rg:None")</f>
        <v>datetime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lastVerifiedDate</v>
      </c>
      <c r="V98" s="4" t="str">
        <f>IF(LEN(Table2[[#This Row],[!Description]]) &gt; 0, Table2[[#This Row],[!Description]], "rg:None")</f>
        <v>The date the equipment was last verified by the HETS Clerk as being still in service in the Local Area and available for the HETS Programme.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ht="43.2" x14ac:dyDescent="0.3">
      <c r="A99" s="61" t="s">
        <v>180</v>
      </c>
      <c r="B99" s="61" t="s">
        <v>9</v>
      </c>
      <c r="C99" s="72"/>
      <c r="D99" s="61" t="s">
        <v>378</v>
      </c>
      <c r="E99" s="60" t="s">
        <v>389</v>
      </c>
      <c r="F99" s="12"/>
      <c r="G99" s="18"/>
      <c r="H99" s="18"/>
      <c r="I99" s="4" t="str">
        <f>IF(LEN(A99) &gt; 0,"Defs","-")</f>
        <v>Defs</v>
      </c>
      <c r="J99" s="4" t="str">
        <f>IF(Table2[[#This Row],[!Type]]=J$1, J$1,"rg:None")</f>
        <v>boolean</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isInformationUpdateNeeded</v>
      </c>
      <c r="V99"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61" t="s">
        <v>180</v>
      </c>
      <c r="B100" s="61" t="s">
        <v>7</v>
      </c>
      <c r="C100" s="72">
        <v>2048</v>
      </c>
      <c r="D100" s="61" t="s">
        <v>379</v>
      </c>
      <c r="E100" s="60" t="s">
        <v>380</v>
      </c>
      <c r="F100" s="12"/>
      <c r="G100" s="18"/>
      <c r="H100" s="18"/>
      <c r="I100" s="4" t="str">
        <f>IF(LEN(A100) &gt; 0,"Defs","-")</f>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2048</v>
      </c>
      <c r="U100" s="4" t="str">
        <f>IF(LEN(Table2[[#This Row],[!Name]]) &gt; 0, Table2[[#This Row],[!Name]], "rg:None")</f>
        <v>informationUpdateNeededReason</v>
      </c>
      <c r="V100" s="4" t="str">
        <f>IF(LEN(Table2[[#This Row],[!Description]]) &gt; 0, Table2[[#This Row],[!Description]], "rg:None")</f>
        <v>A note about why the needed information/status update that is needed about the equipment.</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20</v>
      </c>
      <c r="D101" s="78" t="s">
        <v>235</v>
      </c>
      <c r="E101" s="93" t="s">
        <v>236</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20</v>
      </c>
      <c r="U101" s="4" t="str">
        <f>IF(LEN(Table2[[#This Row],[!Name]]) &gt; 0, Table2[[#This Row],[!Name]], "rg:None")</f>
        <v>licencePlate</v>
      </c>
      <c r="V101" s="4" t="str">
        <f>IF(LEN(Table2[[#This Row],[!Description]]) &gt; 0, Table2[[#This Row],[!Description]], "rg:None")</f>
        <v>The licence plate (if any) of the piece of equipment, as entered by the HETS Clerk.</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131</v>
      </c>
      <c r="E102" s="93" t="s">
        <v>237</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make</v>
      </c>
      <c r="V102" s="4" t="str">
        <f>IF(LEN(Table2[[#This Row],[!Description]]) &gt; 0, Table2[[#This Row],[!Description]], "rg:None")</f>
        <v>The make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50</v>
      </c>
      <c r="D103" s="5" t="s">
        <v>132</v>
      </c>
      <c r="E103" s="93" t="s">
        <v>238</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50</v>
      </c>
      <c r="U103" s="4" t="str">
        <f>IF(LEN(Table2[[#This Row],[!Name]]) &gt; 0, Table2[[#This Row],[!Name]], "rg:None")</f>
        <v>model</v>
      </c>
      <c r="V103" s="4" t="str">
        <f>IF(LEN(Table2[[#This Row],[!Description]]) &gt; 0, Table2[[#This Row],[!Description]], "rg:None")</f>
        <v>The model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15</v>
      </c>
      <c r="D104" s="5" t="s">
        <v>133</v>
      </c>
      <c r="E104" s="93" t="s">
        <v>239</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15</v>
      </c>
      <c r="U104" s="4" t="str">
        <f>IF(LEN(Table2[[#This Row],[!Name]]) &gt; 0, Table2[[#This Row],[!Name]], "rg:None")</f>
        <v>year</v>
      </c>
      <c r="V104" s="4" t="str">
        <f>IF(LEN(Table2[[#This Row],[!Description]]) &gt; 0, Table2[[#This Row],[!Description]], "rg:None")</f>
        <v>The model year of the piece of equipment, as provided by the Equipment Owner.</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7</v>
      </c>
      <c r="C105" s="5">
        <v>255</v>
      </c>
      <c r="D105" s="5" t="s">
        <v>134</v>
      </c>
      <c r="E105" s="79" t="s">
        <v>424</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operator</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108</v>
      </c>
      <c r="D106" s="5" t="s">
        <v>135</v>
      </c>
      <c r="E106" s="79" t="s">
        <v>424</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float</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payRate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x14ac:dyDescent="0.3">
      <c r="A107" s="82" t="s">
        <v>180</v>
      </c>
      <c r="B107" s="5" t="s">
        <v>7</v>
      </c>
      <c r="C107" s="5">
        <v>255</v>
      </c>
      <c r="D107" s="5" t="s">
        <v>137</v>
      </c>
      <c r="E107" s="79" t="s">
        <v>424</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255</v>
      </c>
      <c r="U107" s="4" t="str">
        <f>IF(LEN(Table2[[#This Row],[!Name]]) &gt; 0, Table2[[#This Row],[!Name]], "rg:None")</f>
        <v>refuseRate</v>
      </c>
      <c r="V107" s="4" t="str">
        <f>IF(LEN(Table2[[#This Row],[!Description]]) &gt; 0, Table2[[#This Row],[!Description]], "rg:None")</f>
        <v>TO BE REVIEWED WITH THE BUSINESS - WHAT IS THIS?</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ht="72" x14ac:dyDescent="0.3">
      <c r="A108" s="82" t="s">
        <v>180</v>
      </c>
      <c r="B108" s="5" t="s">
        <v>7</v>
      </c>
      <c r="C108" s="5">
        <v>100</v>
      </c>
      <c r="D108" s="88" t="s">
        <v>451</v>
      </c>
      <c r="E108" s="93" t="s">
        <v>241</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100</v>
      </c>
      <c r="U108" s="4" t="str">
        <f>IF(LEN(Table2[[#This Row],[!Name]]) &gt; 0, Table2[[#This Row],[!Name]], "rg:None")</f>
        <v>serialNumber</v>
      </c>
      <c r="V108"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5" t="s">
        <v>7</v>
      </c>
      <c r="C109" s="5">
        <v>128</v>
      </c>
      <c r="D109" s="5" t="s">
        <v>139</v>
      </c>
      <c r="E109" s="93" t="s">
        <v>242</v>
      </c>
      <c r="F109" s="5" t="s">
        <v>5</v>
      </c>
      <c r="G109" s="4"/>
      <c r="H109" s="4"/>
      <c r="I109" s="4" t="str">
        <f t="shared" si="13"/>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128</v>
      </c>
      <c r="U109" s="4" t="str">
        <f>IF(LEN(Table2[[#This Row],[!Name]]) &gt; 0, Table2[[#This Row],[!Name]], "rg:None")</f>
        <v>size</v>
      </c>
      <c r="V109" s="4" t="str">
        <f>IF(LEN(Table2[[#This Row],[!Description]]) &gt; 0, Table2[[#This Row],[!Description]], "rg:None")</f>
        <v>The size of the piece of equipment, as provided by the Equipment Owner.</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x14ac:dyDescent="0.3">
      <c r="A110" s="82" t="s">
        <v>180</v>
      </c>
      <c r="B110" s="82" t="s">
        <v>12</v>
      </c>
      <c r="D110" s="82" t="s">
        <v>186</v>
      </c>
      <c r="E110" s="79" t="s">
        <v>424</v>
      </c>
      <c r="F110" s="5" t="s">
        <v>5</v>
      </c>
      <c r="G110" s="4"/>
      <c r="H110" s="4"/>
      <c r="I110" s="4" t="str">
        <f t="shared" si="13"/>
        <v>Defs</v>
      </c>
      <c r="J110" s="4" t="str">
        <f>IF(Table2[[#This Row],[!Type]]=J$1, J$1,"rg:None")</f>
        <v>rg:None</v>
      </c>
      <c r="K110" s="4" t="str">
        <f>IF(Table2[[#This Row],[!Type]]=K$1, K$1,"rg:None")</f>
        <v>rg:None</v>
      </c>
      <c r="L110" s="4" t="str">
        <f>IF(Table2[[#This Row],[!Type]]=L$1, L$1,"rg:None")</f>
        <v>datetime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toDate</v>
      </c>
      <c r="V110" s="4" t="str">
        <f>IF(LEN(Table2[[#This Row],[!Description]]) &gt; 0, Table2[[#This Row],[!Description]], "rg:None")</f>
        <v>TO BE REVIEWED WITH THE BUSINESS - WHAT IS THIS?</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28.8" x14ac:dyDescent="0.3">
      <c r="A111" s="82" t="s">
        <v>180</v>
      </c>
      <c r="B111" s="160" t="s">
        <v>13</v>
      </c>
      <c r="D111" s="82" t="s">
        <v>189</v>
      </c>
      <c r="E111" s="96" t="s">
        <v>243</v>
      </c>
      <c r="F111" s="5" t="s">
        <v>5</v>
      </c>
      <c r="G111" s="4"/>
      <c r="H111" s="4"/>
      <c r="I111" s="4" t="str">
        <f t="shared" ref="I111:I117" si="14">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integer</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blockNumber</v>
      </c>
      <c r="V111" s="4" t="str">
        <f>IF(LEN(Table2[[#This Row],[!Description]]) &gt; 0, Table2[[#This Row],[!Description]], "rg:None")</f>
        <v>The current block number for the piece of equipment as calculated by the Seniority Algorthm for this equipment type in the local area. As currently defined y the business  - 1, 2 or Open</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57.6" x14ac:dyDescent="0.3">
      <c r="A112" s="82" t="s">
        <v>180</v>
      </c>
      <c r="B112" s="95" t="s">
        <v>108</v>
      </c>
      <c r="D112" s="80" t="s">
        <v>138</v>
      </c>
      <c r="E112" s="96" t="s">
        <v>244</v>
      </c>
      <c r="F112" s="5" t="s">
        <v>5</v>
      </c>
      <c r="G112" s="4"/>
      <c r="H112" s="4"/>
      <c r="I112" s="4" t="str">
        <f t="shared" si="14"/>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seniority</v>
      </c>
      <c r="V112"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73" t="s">
        <v>180</v>
      </c>
      <c r="B113" s="73" t="s">
        <v>13</v>
      </c>
      <c r="C113" s="72"/>
      <c r="D113" s="73" t="s">
        <v>448</v>
      </c>
      <c r="E113" s="74" t="s">
        <v>449</v>
      </c>
      <c r="F113" s="12"/>
      <c r="G113" s="18"/>
      <c r="H113" s="18"/>
      <c r="I113" s="4" t="str">
        <f>IF(LEN(A113) &gt; 0,"Defs","-")</f>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integer</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numberInBlock</v>
      </c>
      <c r="V113"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43.2" x14ac:dyDescent="0.3">
      <c r="A114" s="69" t="s">
        <v>180</v>
      </c>
      <c r="B114" s="69" t="s">
        <v>9</v>
      </c>
      <c r="C114" s="72"/>
      <c r="D114" s="69" t="s">
        <v>437</v>
      </c>
      <c r="E114" s="70" t="s">
        <v>438</v>
      </c>
      <c r="F114" s="12"/>
      <c r="G114" s="18"/>
      <c r="H114" s="18"/>
      <c r="I114" s="4" t="str">
        <f t="shared" si="14"/>
        <v>Defs</v>
      </c>
      <c r="J114" s="4" t="str">
        <f>IF(Table2[[#This Row],[!Type]]=J$1, J$1,"rg:None")</f>
        <v>boolean</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isSeniorityOverridden</v>
      </c>
      <c r="V11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9" t="s">
        <v>180</v>
      </c>
      <c r="B115" s="69" t="s">
        <v>7</v>
      </c>
      <c r="C115" s="72">
        <v>2048</v>
      </c>
      <c r="D115" s="69" t="s">
        <v>436</v>
      </c>
      <c r="E115" s="70" t="s">
        <v>439</v>
      </c>
      <c r="F115" s="12"/>
      <c r="G115" s="18"/>
      <c r="H115" s="18"/>
      <c r="I115" s="4" t="str">
        <f t="shared" si="14"/>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2048</v>
      </c>
      <c r="U115" s="4" t="str">
        <f>IF(LEN(Table2[[#This Row],[!Name]]) &gt; 0, Table2[[#This Row],[!Name]], "rg:None")</f>
        <v>seniorityOverrideReason</v>
      </c>
      <c r="V115" s="4" t="str">
        <f>IF(LEN(Table2[[#This Row],[!Description]]) &gt; 0, Table2[[#This Row],[!Description]], "rg:None")</f>
        <v>A text reason for why the piece of equipments underlying data was overridden to change their seniority number.</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61" t="s">
        <v>180</v>
      </c>
      <c r="B116" s="61" t="s">
        <v>12</v>
      </c>
      <c r="C116" s="72"/>
      <c r="D116" s="61" t="s">
        <v>395</v>
      </c>
      <c r="E116" s="60" t="s">
        <v>396</v>
      </c>
      <c r="F116" s="12"/>
      <c r="G116" s="18"/>
      <c r="H116" s="18"/>
      <c r="I116" s="4" t="str">
        <f t="shared" si="14"/>
        <v>Defs</v>
      </c>
      <c r="J116" s="4" t="str">
        <f>IF(Table2[[#This Row],[!Type]]=J$1, J$1,"rg:None")</f>
        <v>rg:None</v>
      </c>
      <c r="K116" s="4" t="str">
        <f>IF(Table2[[#This Row],[!Type]]=K$1, K$1,"rg:None")</f>
        <v>rg:None</v>
      </c>
      <c r="L116" s="4" t="str">
        <f>IF(Table2[[#This Row],[!Type]]=L$1, L$1,"rg:None")</f>
        <v>datetime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seniorityEffectiveDate</v>
      </c>
      <c r="V116" s="4" t="str">
        <f>IF(LEN(Table2[[#This Row],[!Description]]) &gt; 0, Table2[[#This Row],[!Description]], "rg:None")</f>
        <v>The time the seniority data in the record went into effect. Used to populate the SeniorityAudit table when the seniority data is next updated.</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ht="28.8" x14ac:dyDescent="0.3">
      <c r="A117" s="82" t="s">
        <v>180</v>
      </c>
      <c r="B117" s="5" t="s">
        <v>108</v>
      </c>
      <c r="D117" s="80" t="s">
        <v>393</v>
      </c>
      <c r="E117" s="93" t="s">
        <v>240</v>
      </c>
      <c r="F117" s="5" t="s">
        <v>5</v>
      </c>
      <c r="G117" s="4"/>
      <c r="H117" s="4"/>
      <c r="I117" s="4" t="str">
        <f t="shared" si="14"/>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yearsOfService</v>
      </c>
      <c r="V117" s="4" t="str">
        <f>IF(LEN(Table2[[#This Row],[!Description]]) &gt; 0, Table2[[#This Row],[!Description]], "rg:None")</f>
        <v>The number of years of active service of this piece of equipment at the time seniority is calculated - April 1 of the current FY.</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x14ac:dyDescent="0.3">
      <c r="A118" s="82" t="s">
        <v>180</v>
      </c>
      <c r="B118" s="97" t="s">
        <v>108</v>
      </c>
      <c r="D118" s="95" t="s">
        <v>245</v>
      </c>
      <c r="E118" s="96" t="s">
        <v>246</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serviceHoursLastYear</v>
      </c>
      <c r="V118" s="4" t="str">
        <f>IF(LEN(Table2[[#This Row],[!Description]]) &gt; 0, Table2[[#This Row],[!Description]], "rg:None")</f>
        <v>Number of hours of service by this piece of equipment in the previous fiscal year</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247</v>
      </c>
      <c r="E119" s="96" t="s">
        <v>248</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serviceHoursTwoYearsAgo</v>
      </c>
      <c r="V119" s="4" t="str">
        <f>IF(LEN(Table2[[#This Row],[!Description]]) &gt; 0, Table2[[#This Row],[!Description]], "rg:None")</f>
        <v>Number of hours of service by this piece of equipment in the fiscal year before the last one - e.g. if current year is FY2018 then hours in FY2016</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ht="28.8" x14ac:dyDescent="0.3">
      <c r="A120" s="82" t="s">
        <v>180</v>
      </c>
      <c r="B120" s="5" t="s">
        <v>108</v>
      </c>
      <c r="D120" s="95" t="s">
        <v>250</v>
      </c>
      <c r="E120" s="96" t="s">
        <v>249</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serviceHoursThreeYearsAgo</v>
      </c>
      <c r="V120" s="4" t="str">
        <f>IF(LEN(Table2[[#This Row],[!Description]]) &gt; 0, Table2[[#This Row],[!Description]], "rg:None")</f>
        <v>Number of hours of service by this piece of equipment in the fiscal year three years ago - e.g. if current year is FY2018 then hours in FY2015</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50</v>
      </c>
      <c r="D121" s="95" t="s">
        <v>251</v>
      </c>
      <c r="E121" s="98" t="s">
        <v>422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50</v>
      </c>
      <c r="U121" s="4" t="str">
        <f>IF(LEN(Table2[[#This Row],[!Name]]) &gt; 0, Table2[[#This Row],[!Name]], "rg:None")</f>
        <v>archiveCode</v>
      </c>
      <c r="V121" s="4" t="str">
        <f>IF(LEN(Table2[[#This Row],[!Description]]) &gt; 0, Table2[[#This Row],[!Description]], "rg:None")</f>
        <v>TO BE REVIEWED - A reason code indicating why a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5" t="s">
        <v>7</v>
      </c>
      <c r="C122" s="5">
        <v>2048</v>
      </c>
      <c r="D122" s="5" t="s">
        <v>140</v>
      </c>
      <c r="E122" s="96" t="s">
        <v>252</v>
      </c>
      <c r="F122" s="5" t="s">
        <v>5</v>
      </c>
      <c r="G122" s="4"/>
      <c r="H122" s="4"/>
      <c r="I122" s="4" t="str">
        <f t="shared" si="13"/>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2048</v>
      </c>
      <c r="U122" s="4" t="str">
        <f>IF(LEN(Table2[[#This Row],[!Name]]) &gt; 0, Table2[[#This Row],[!Name]], "rg:None")</f>
        <v>archiveReason</v>
      </c>
      <c r="V122" s="4" t="str">
        <f>IF(LEN(Table2[[#This Row],[!Description]]) &gt; 0, Table2[[#This Row],[!Description]], "rg:None")</f>
        <v>An optional comment about why this piece of equipment has been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x14ac:dyDescent="0.3">
      <c r="A123" s="82" t="s">
        <v>180</v>
      </c>
      <c r="B123" s="82" t="s">
        <v>12</v>
      </c>
      <c r="D123" s="82" t="s">
        <v>187</v>
      </c>
      <c r="E123" s="96" t="s">
        <v>253</v>
      </c>
      <c r="F123" s="5" t="s">
        <v>5</v>
      </c>
      <c r="G123" s="4"/>
      <c r="H123" s="4"/>
      <c r="I123" s="4" t="str">
        <f t="shared" ref="I123:I141" si="15">IF(LEN(A123) &gt; 0,"Defs","-")</f>
        <v>Defs</v>
      </c>
      <c r="J123" s="4" t="str">
        <f>IF(Table2[[#This Row],[!Type]]=J$1, J$1,"rg:None")</f>
        <v>rg:None</v>
      </c>
      <c r="K123" s="4" t="str">
        <f>IF(Table2[[#This Row],[!Type]]=K$1, K$1,"rg:None")</f>
        <v>rg:None</v>
      </c>
      <c r="L123" s="4" t="str">
        <f>IF(Table2[[#This Row],[!Type]]=L$1, L$1,"rg:None")</f>
        <v>datetime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archiveDate</v>
      </c>
      <c r="V123" s="4" t="str">
        <f>IF(LEN(Table2[[#This Row],[!Description]]) &gt; 0, Table2[[#This Row],[!Description]], "rg:None")</f>
        <v>The date on which a user most recenly marked this piece of equipment as archived.</v>
      </c>
      <c r="W123" s="4" t="str">
        <f>IF(LEN(Table2[[#This Row],[!FK]])&gt;0,Table2[[#This Row],[!FK]],"rg:None")</f>
        <v>rg:None</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ht="28.8" x14ac:dyDescent="0.3">
      <c r="A124" s="82" t="s">
        <v>180</v>
      </c>
      <c r="B124" s="95" t="s">
        <v>8</v>
      </c>
      <c r="D124" s="95" t="s">
        <v>254</v>
      </c>
      <c r="E124" s="96" t="s">
        <v>255</v>
      </c>
      <c r="F124" s="42" t="s">
        <v>109</v>
      </c>
      <c r="G124" s="4"/>
      <c r="H124" s="4"/>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dumpTruck</v>
      </c>
      <c r="V124" s="4" t="str">
        <f>IF(LEN(Table2[[#This Row],[!Description]]) &gt; 0, Table2[[#This Row],[!Description]], "rg:None")</f>
        <v>A link to a dump truck set if this piece of equipment is an equipment type flagged as a dump truck.</v>
      </c>
      <c r="W124" s="4" t="str">
        <f>IF(LEN(Table2[[#This Row],[!FK]])&gt;0,Table2[[#This Row],[!FK]],"rg:None")</f>
        <v>DumpTruck</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190</v>
      </c>
      <c r="E125" s="47"/>
      <c r="F125" s="82" t="s">
        <v>183</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equipmentAttachments</v>
      </c>
      <c r="V125" s="4" t="str">
        <f>IF(LEN(Table2[[#This Row],[!Description]]) &gt; 0, Table2[[#This Row],[!Description]], "rg:None")</f>
        <v>rg:None</v>
      </c>
      <c r="W125" s="4" t="str">
        <f>IF(LEN(Table2[[#This Row],[!FK]])&gt;0,Table2[[#This Row],[!FK]],"rg:None")</f>
        <v>EquipmentAttachment</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164</v>
      </c>
      <c r="E126" s="47"/>
      <c r="F126" s="22" t="s">
        <v>146</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notes</v>
      </c>
      <c r="V126" s="4" t="str">
        <f>IF(LEN(Table2[[#This Row],[!Description]]) &gt; 0, Table2[[#This Row],[!Description]], "rg:None")</f>
        <v>rg:None</v>
      </c>
      <c r="W126" s="4" t="str">
        <f>IF(LEN(Table2[[#This Row],[!FK]])&gt;0,Table2[[#This Row],[!FK]],"rg:None")</f>
        <v>Note</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175</v>
      </c>
      <c r="E127" s="47"/>
      <c r="F127" s="81" t="s">
        <v>158</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attachments</v>
      </c>
      <c r="V127" s="4" t="str">
        <f>IF(LEN(Table2[[#This Row],[!Description]]) &gt; 0, Table2[[#This Row],[!Description]], "rg:None")</f>
        <v>rg:None</v>
      </c>
      <c r="W127" s="4" t="str">
        <f>IF(LEN(Table2[[#This Row],[!FK]])&gt;0,Table2[[#This Row],[!FK]],"rg:None")</f>
        <v>Attachment</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x14ac:dyDescent="0.3">
      <c r="A128" s="82" t="s">
        <v>180</v>
      </c>
      <c r="B128" s="21" t="s">
        <v>19</v>
      </c>
      <c r="C128" s="72"/>
      <c r="D128" s="21" t="s">
        <v>177</v>
      </c>
      <c r="E128" s="47"/>
      <c r="F128" s="82" t="s">
        <v>160</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history</v>
      </c>
      <c r="V128" s="4" t="str">
        <f>IF(LEN(Table2[[#This Row],[!Description]]) &gt; 0, Table2[[#This Row],[!Description]], "rg:None")</f>
        <v>rg:None</v>
      </c>
      <c r="W128" s="4" t="str">
        <f>IF(LEN(Table2[[#This Row],[!FK]])&gt;0,Table2[[#This Row],[!FK]],"rg:None")</f>
        <v>History</v>
      </c>
      <c r="X128" s="14" t="str">
        <f>IF(LEN(concatif2(A:A,Table2[[#This Row],[!Table]],G:G,"Y",D:D,",")) &gt; 0,"rg:[ { 'req' : '"&amp;concatif2(A:A,Table2[[#This Row],[!Table]],G:G,"Y",D:D,"' }, { 'req': '")&amp;"'} ]","rg:[]")</f>
        <v>rg:[ { 'req' : 'id' }, { 'req': 'localArea' }, { 'req': 'districtEquipmentType' }, { 'req': 'owner' }, { 'req': 'equipmentCode' }, { 'req': 'status' }, { 'req': 'receivedDate' }, { 'req': 'lastVerifiedDate'} ]</v>
      </c>
      <c r="Y128" s="4" t="str">
        <f>IF(LEN(Table2[[#This Row],[!Unique]])&gt;0,IF(Table2[[#This Row],[!Type]] = "id", "rg:None","rg:True"),"rg:None")</f>
        <v>rg:None</v>
      </c>
    </row>
    <row r="129" spans="1:25" ht="115.2" x14ac:dyDescent="0.3">
      <c r="A129" s="5" t="s">
        <v>109</v>
      </c>
      <c r="B129" s="5" t="s">
        <v>4</v>
      </c>
      <c r="D129" s="5" t="s">
        <v>109</v>
      </c>
      <c r="E129" s="99" t="s">
        <v>394</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5" t="s">
        <v>109</v>
      </c>
      <c r="B130" s="5" t="s">
        <v>6</v>
      </c>
      <c r="D130" s="5" t="s">
        <v>6</v>
      </c>
      <c r="E130" s="54" t="s">
        <v>293</v>
      </c>
      <c r="F130" s="5" t="s">
        <v>5</v>
      </c>
      <c r="G130" s="4" t="s">
        <v>62</v>
      </c>
      <c r="H130" s="158" t="s">
        <v>62</v>
      </c>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82" t="s">
        <v>109</v>
      </c>
      <c r="B131" s="95" t="s">
        <v>9</v>
      </c>
      <c r="D131" s="95" t="s">
        <v>256</v>
      </c>
      <c r="E131" s="96" t="s">
        <v>266</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260</v>
      </c>
      <c r="E132" s="96" t="s">
        <v>265</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
      <c r="A133" s="5" t="s">
        <v>109</v>
      </c>
      <c r="B133" s="95" t="s">
        <v>9</v>
      </c>
      <c r="D133" s="95" t="s">
        <v>267</v>
      </c>
      <c r="E133" s="96" t="s">
        <v>268</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ht="28.8" x14ac:dyDescent="0.3">
      <c r="A134" s="5" t="s">
        <v>109</v>
      </c>
      <c r="B134" s="95" t="s">
        <v>9</v>
      </c>
      <c r="D134" s="95" t="s">
        <v>261</v>
      </c>
      <c r="E134" s="96" t="s">
        <v>262</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263</v>
      </c>
      <c r="E135" s="96" t="s">
        <v>264</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269</v>
      </c>
      <c r="E136" s="96" t="s">
        <v>270</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271</v>
      </c>
      <c r="E137" s="96" t="s">
        <v>272</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D138" s="95" t="s">
        <v>273</v>
      </c>
      <c r="E138" s="96" t="s">
        <v>274</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95" t="s">
        <v>9</v>
      </c>
      <c r="C139" s="95"/>
      <c r="D139" s="95" t="s">
        <v>275</v>
      </c>
      <c r="E139" s="96" t="s">
        <v>276</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110</v>
      </c>
      <c r="E140" s="96" t="s">
        <v>277</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111</v>
      </c>
      <c r="E141" s="96" t="s">
        <v>278</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112</v>
      </c>
      <c r="E142" s="96" t="s">
        <v>279</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5" t="s">
        <v>113</v>
      </c>
      <c r="E143" s="96" t="s">
        <v>280</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82" t="s">
        <v>188</v>
      </c>
      <c r="E144" s="96" t="s">
        <v>281</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114</v>
      </c>
      <c r="E145" s="96" t="s">
        <v>282</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115</v>
      </c>
      <c r="E146" s="96" t="s">
        <v>283</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x14ac:dyDescent="0.3">
      <c r="A147" s="5" t="s">
        <v>109</v>
      </c>
      <c r="B147" s="5" t="s">
        <v>7</v>
      </c>
      <c r="C147" s="5">
        <v>150</v>
      </c>
      <c r="D147" s="5" t="s">
        <v>116</v>
      </c>
      <c r="E147" s="96" t="s">
        <v>287</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ht="43.2" x14ac:dyDescent="0.3">
      <c r="A148" s="5" t="s">
        <v>109</v>
      </c>
      <c r="B148" s="5" t="s">
        <v>7</v>
      </c>
      <c r="C148" s="5">
        <v>150</v>
      </c>
      <c r="D148" s="5" t="s">
        <v>117</v>
      </c>
      <c r="E148" s="96" t="s">
        <v>284</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118</v>
      </c>
      <c r="E149" s="96" t="s">
        <v>285</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119</v>
      </c>
      <c r="E150" s="96" t="s">
        <v>286</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120</v>
      </c>
      <c r="E151" s="96" t="s">
        <v>288</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121</v>
      </c>
      <c r="E152" s="96" t="s">
        <v>289</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x14ac:dyDescent="0.3">
      <c r="A153" s="5" t="s">
        <v>109</v>
      </c>
      <c r="B153" s="5" t="s">
        <v>7</v>
      </c>
      <c r="C153" s="5">
        <v>150</v>
      </c>
      <c r="D153" s="5" t="s">
        <v>122</v>
      </c>
      <c r="E153" s="96" t="s">
        <v>290</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123</v>
      </c>
      <c r="E154" s="100" t="s">
        <v>353</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124</v>
      </c>
      <c r="E155" s="100" t="s">
        <v>354</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ht="28.8" x14ac:dyDescent="0.3">
      <c r="A156" s="5" t="s">
        <v>109</v>
      </c>
      <c r="B156" s="5" t="s">
        <v>7</v>
      </c>
      <c r="C156" s="5">
        <v>150</v>
      </c>
      <c r="D156" s="5" t="s">
        <v>125</v>
      </c>
      <c r="E156" s="100" t="s">
        <v>357</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x14ac:dyDescent="0.3">
      <c r="A157" s="5" t="s">
        <v>109</v>
      </c>
      <c r="B157" s="5" t="s">
        <v>7</v>
      </c>
      <c r="C157" s="5">
        <v>150</v>
      </c>
      <c r="D157" s="5" t="s">
        <v>126</v>
      </c>
      <c r="E157" s="96" t="s">
        <v>291</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127</v>
      </c>
      <c r="E158" s="100" t="s">
        <v>358</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128</v>
      </c>
      <c r="E159" s="100" t="s">
        <v>359</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ht="28.8" x14ac:dyDescent="0.3">
      <c r="A160" s="5" t="s">
        <v>109</v>
      </c>
      <c r="B160" s="5" t="s">
        <v>7</v>
      </c>
      <c r="C160" s="5">
        <v>150</v>
      </c>
      <c r="D160" s="5" t="s">
        <v>129</v>
      </c>
      <c r="E160" s="100" t="s">
        <v>360</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x14ac:dyDescent="0.3">
      <c r="A161" s="5" t="s">
        <v>109</v>
      </c>
      <c r="B161" s="5" t="s">
        <v>7</v>
      </c>
      <c r="C161" s="5">
        <v>150</v>
      </c>
      <c r="D161" s="5" t="s">
        <v>130</v>
      </c>
      <c r="E161" s="96" t="s">
        <v>292</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Row],[!Unique]])&gt;0,IF(Table2[[#This Row],[!Type]] = "id", "rg:None","rg:True"),"rg:None")</f>
        <v>rg:None</v>
      </c>
    </row>
    <row r="162" spans="1:25" ht="28.8" x14ac:dyDescent="0.3">
      <c r="A162" s="82" t="s">
        <v>182</v>
      </c>
      <c r="B162" s="136" t="s">
        <v>4</v>
      </c>
      <c r="C162" s="72"/>
      <c r="D162" s="82" t="s">
        <v>182</v>
      </c>
      <c r="E162" s="141" t="s">
        <v>567</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6</v>
      </c>
      <c r="C163" s="72"/>
      <c r="D163" s="136" t="s">
        <v>6</v>
      </c>
      <c r="E163" s="138" t="s">
        <v>552</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rg:None</v>
      </c>
    </row>
    <row r="164" spans="1:25" x14ac:dyDescent="0.3">
      <c r="A164" s="82" t="s">
        <v>182</v>
      </c>
      <c r="B164" s="136" t="s">
        <v>7</v>
      </c>
      <c r="C164" s="72">
        <v>50</v>
      </c>
      <c r="D164" s="136" t="s">
        <v>15</v>
      </c>
      <c r="E164" s="137" t="s">
        <v>553</v>
      </c>
      <c r="F164" s="12"/>
      <c r="G164" s="157" t="s">
        <v>62</v>
      </c>
      <c r="H164" s="157" t="s">
        <v>62</v>
      </c>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rg:True</v>
      </c>
    </row>
    <row r="165" spans="1:25" ht="28.8" x14ac:dyDescent="0.3">
      <c r="A165" s="142" t="s">
        <v>182</v>
      </c>
      <c r="B165" s="142" t="s">
        <v>9</v>
      </c>
      <c r="C165" s="72"/>
      <c r="D165" s="142" t="s">
        <v>568</v>
      </c>
      <c r="E165" s="141" t="s">
        <v>569</v>
      </c>
      <c r="F165" s="12"/>
      <c r="G165" s="157" t="s">
        <v>62</v>
      </c>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554</v>
      </c>
      <c r="E166" s="137" t="s">
        <v>555</v>
      </c>
      <c r="F166" s="12"/>
      <c r="G166" s="157" t="s">
        <v>62</v>
      </c>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x14ac:dyDescent="0.3">
      <c r="A167" s="82" t="s">
        <v>182</v>
      </c>
      <c r="B167" s="136" t="s">
        <v>108</v>
      </c>
      <c r="C167" s="72"/>
      <c r="D167" s="136" t="s">
        <v>561</v>
      </c>
      <c r="E167" s="137" t="s">
        <v>562</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43.2" x14ac:dyDescent="0.3">
      <c r="A168" s="82" t="s">
        <v>182</v>
      </c>
      <c r="B168" s="136" t="s">
        <v>13</v>
      </c>
      <c r="C168" s="72"/>
      <c r="D168" s="136" t="s">
        <v>556</v>
      </c>
      <c r="E168" s="137" t="s">
        <v>563</v>
      </c>
      <c r="F168" s="12"/>
      <c r="G168" s="157" t="s">
        <v>62</v>
      </c>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139" t="s">
        <v>557</v>
      </c>
      <c r="E169" s="137" t="s">
        <v>558</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141</v>
      </c>
      <c r="E170" s="137" t="s">
        <v>559</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28.8" x14ac:dyDescent="0.3">
      <c r="A171" s="82" t="s">
        <v>182</v>
      </c>
      <c r="B171" s="136" t="s">
        <v>108</v>
      </c>
      <c r="C171" s="72"/>
      <c r="D171" s="5" t="s">
        <v>142</v>
      </c>
      <c r="E171" s="137" t="s">
        <v>560</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 { 'req' : 'id' }, { 'req': 'name' }, { 'req': 'isDumpTruck' }, { 'req': 'blueBookSection' }, { 'req': 'numberOfBlocks'} ]</v>
      </c>
      <c r="Y171" s="4" t="str">
        <f>IF(LEN(Table2[[#This Row],[!Unique]])&gt;0,IF(Table2[[#This Row],[!Type]] = "id", "rg:None","rg:True"),"rg:None")</f>
        <v>rg:None</v>
      </c>
    </row>
    <row r="172" spans="1:25" ht="72" x14ac:dyDescent="0.3">
      <c r="A172" s="140" t="s">
        <v>566</v>
      </c>
      <c r="B172" s="5" t="s">
        <v>4</v>
      </c>
      <c r="D172" s="140" t="s">
        <v>566</v>
      </c>
      <c r="E172" s="144" t="s">
        <v>570</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566</v>
      </c>
      <c r="B173" s="5" t="s">
        <v>6</v>
      </c>
      <c r="D173" s="5" t="s">
        <v>6</v>
      </c>
      <c r="E173" s="101" t="s">
        <v>298</v>
      </c>
      <c r="F173" s="5" t="s">
        <v>5</v>
      </c>
      <c r="G173" s="4" t="s">
        <v>62</v>
      </c>
      <c r="H173" s="158" t="s">
        <v>62</v>
      </c>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566</v>
      </c>
      <c r="B174" s="136" t="s">
        <v>8</v>
      </c>
      <c r="C174" s="72"/>
      <c r="D174" s="142" t="s">
        <v>181</v>
      </c>
      <c r="E174" s="47"/>
      <c r="F174" s="143" t="s">
        <v>182</v>
      </c>
      <c r="G174" s="157" t="s">
        <v>62</v>
      </c>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x14ac:dyDescent="0.3">
      <c r="A175" s="140" t="s">
        <v>566</v>
      </c>
      <c r="B175" s="5" t="s">
        <v>8</v>
      </c>
      <c r="D175" s="139" t="s">
        <v>37</v>
      </c>
      <c r="F175" s="139" t="s">
        <v>32</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ht="57.6" x14ac:dyDescent="0.3">
      <c r="A176" s="140" t="s">
        <v>566</v>
      </c>
      <c r="B176" s="5" t="s">
        <v>7</v>
      </c>
      <c r="C176" s="5">
        <v>255</v>
      </c>
      <c r="D176" s="139" t="s">
        <v>564</v>
      </c>
      <c r="E176" s="138" t="s">
        <v>565</v>
      </c>
      <c r="F176" s="5" t="s">
        <v>5</v>
      </c>
      <c r="G176" s="158" t="s">
        <v>62</v>
      </c>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255</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 { 'req': 'equipmentType' }, { 'req': 'district' }, { 'req': 'districtEquipmentName'} ]</v>
      </c>
      <c r="Y176" s="4" t="str">
        <f>IF(LEN(Table2[[#This Row],[!Unique]])&gt;0,IF(Table2[[#This Row],[!Type]] = "id", "rg:None","rg:True"),"rg:None")</f>
        <v>rg:None</v>
      </c>
    </row>
    <row r="177" spans="1:25" x14ac:dyDescent="0.3">
      <c r="A177" s="142" t="s">
        <v>571</v>
      </c>
      <c r="B177" s="124" t="s">
        <v>4</v>
      </c>
      <c r="C177" s="72"/>
      <c r="D177" s="142" t="s">
        <v>571</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571</v>
      </c>
      <c r="B178" s="124" t="s">
        <v>6</v>
      </c>
      <c r="C178" s="72"/>
      <c r="D178" s="124" t="s">
        <v>6</v>
      </c>
      <c r="E178" s="47"/>
      <c r="F178" s="12"/>
      <c r="G178" s="126" t="s">
        <v>62</v>
      </c>
      <c r="H178" s="157" t="s">
        <v>62</v>
      </c>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571</v>
      </c>
      <c r="B179" s="124" t="s">
        <v>8</v>
      </c>
      <c r="C179" s="72"/>
      <c r="D179" s="142" t="s">
        <v>572</v>
      </c>
      <c r="E179" s="129" t="s">
        <v>535</v>
      </c>
      <c r="F179" s="143" t="s">
        <v>566</v>
      </c>
      <c r="G179" s="157" t="s">
        <v>62</v>
      </c>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x14ac:dyDescent="0.3">
      <c r="A180" s="142" t="s">
        <v>571</v>
      </c>
      <c r="B180" s="142" t="s">
        <v>8</v>
      </c>
      <c r="C180" s="72"/>
      <c r="D180" s="142" t="s">
        <v>173</v>
      </c>
      <c r="E180" s="47"/>
      <c r="F180" s="143" t="s">
        <v>151</v>
      </c>
      <c r="G180" s="157" t="s">
        <v>62</v>
      </c>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ht="28.8" x14ac:dyDescent="0.3">
      <c r="A181" s="142" t="s">
        <v>571</v>
      </c>
      <c r="B181" s="124" t="s">
        <v>8</v>
      </c>
      <c r="C181" s="72"/>
      <c r="D181" s="124" t="s">
        <v>452</v>
      </c>
      <c r="E181" s="123" t="s">
        <v>530</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x14ac:dyDescent="0.3">
      <c r="A182" s="142" t="s">
        <v>571</v>
      </c>
      <c r="B182" s="131" t="s">
        <v>108</v>
      </c>
      <c r="C182" s="72"/>
      <c r="D182" s="131" t="s">
        <v>547</v>
      </c>
      <c r="E182" s="132" t="s">
        <v>546</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ht="28.8" x14ac:dyDescent="0.3">
      <c r="A183" s="142" t="s">
        <v>571</v>
      </c>
      <c r="B183" s="124" t="s">
        <v>8</v>
      </c>
      <c r="C183" s="72"/>
      <c r="D183" s="124" t="s">
        <v>528</v>
      </c>
      <c r="E183" s="123" t="s">
        <v>531</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x14ac:dyDescent="0.3">
      <c r="A184" s="142" t="s">
        <v>571</v>
      </c>
      <c r="B184" s="131" t="s">
        <v>108</v>
      </c>
      <c r="C184" s="72"/>
      <c r="D184" s="131" t="s">
        <v>548</v>
      </c>
      <c r="E184" s="132" t="s">
        <v>546</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ht="28.8" x14ac:dyDescent="0.3">
      <c r="A185" s="142" t="s">
        <v>571</v>
      </c>
      <c r="B185" s="124" t="s">
        <v>8</v>
      </c>
      <c r="C185" s="72"/>
      <c r="D185" s="122" t="s">
        <v>529</v>
      </c>
      <c r="E185" s="123" t="s">
        <v>532</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142" t="s">
        <v>571</v>
      </c>
      <c r="B186" s="131" t="s">
        <v>108</v>
      </c>
      <c r="C186" s="72"/>
      <c r="D186" s="131" t="s">
        <v>548</v>
      </c>
      <c r="E186" s="132" t="s">
        <v>546</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 { 'req': 'districtEquipmentType' }, { 'req': 'localArea'} ]</v>
      </c>
      <c r="Y186" s="4" t="str">
        <f>IF(LEN(Table2[[#This Row],[!Unique]])&gt;0,IF(Table2[[#This Row],[!Type]] = "id", "rg:None","rg:True"),"rg:None")</f>
        <v>rg:None</v>
      </c>
    </row>
    <row r="187" spans="1:25" x14ac:dyDescent="0.3">
      <c r="A187" s="82" t="s">
        <v>183</v>
      </c>
      <c r="B187" s="5" t="s">
        <v>4</v>
      </c>
      <c r="D187" s="82" t="s">
        <v>183</v>
      </c>
      <c r="E187" s="76" t="s">
        <v>364</v>
      </c>
      <c r="F187" s="5" t="s">
        <v>5</v>
      </c>
      <c r="G187" s="4"/>
      <c r="H187" s="4"/>
      <c r="I187" s="4" t="str">
        <f t="shared" ref="I187:I206"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6</v>
      </c>
      <c r="D188" s="5" t="s">
        <v>6</v>
      </c>
      <c r="E188" s="54" t="s">
        <v>297</v>
      </c>
      <c r="F188" s="5" t="s">
        <v>5</v>
      </c>
      <c r="G188" s="4" t="s">
        <v>62</v>
      </c>
      <c r="H188" s="158" t="s">
        <v>62</v>
      </c>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5" t="s">
        <v>8</v>
      </c>
      <c r="D189" s="82" t="s">
        <v>178</v>
      </c>
      <c r="F189" s="82" t="s">
        <v>180</v>
      </c>
      <c r="G189" s="158"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x14ac:dyDescent="0.3">
      <c r="A190" s="82" t="s">
        <v>183</v>
      </c>
      <c r="B190" s="120" t="s">
        <v>7</v>
      </c>
      <c r="C190" s="5">
        <v>100</v>
      </c>
      <c r="D190" s="140" t="s">
        <v>575</v>
      </c>
      <c r="E190" s="144" t="s">
        <v>574</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28.8" x14ac:dyDescent="0.3">
      <c r="A191" s="82" t="s">
        <v>183</v>
      </c>
      <c r="B191" s="5" t="s">
        <v>7</v>
      </c>
      <c r="C191" s="5">
        <v>2048</v>
      </c>
      <c r="D191" s="82" t="s">
        <v>14</v>
      </c>
      <c r="E191" s="144" t="s">
        <v>576</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'equipment' }, { 'req': 'typeName'} ]</v>
      </c>
      <c r="Y191" s="4" t="str">
        <f>IF(LEN(Table2[[#This Row],[!Unique]])&gt;0,IF(Table2[[#This Row],[!Type]] = "id", "rg:None","rg:True"),"rg:None")</f>
        <v>rg:None</v>
      </c>
    </row>
    <row r="192" spans="1:25" ht="86.4" x14ac:dyDescent="0.3">
      <c r="A192" s="5" t="s">
        <v>147</v>
      </c>
      <c r="B192" s="5" t="s">
        <v>4</v>
      </c>
      <c r="D192" s="5" t="s">
        <v>147</v>
      </c>
      <c r="E192" s="101" t="s">
        <v>299</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6</v>
      </c>
      <c r="D193" s="5" t="s">
        <v>6</v>
      </c>
      <c r="E193" s="54" t="s">
        <v>355</v>
      </c>
      <c r="F193" s="5" t="s">
        <v>5</v>
      </c>
      <c r="G193" s="4" t="s">
        <v>62</v>
      </c>
      <c r="H193" s="158" t="s">
        <v>62</v>
      </c>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5" t="s">
        <v>147</v>
      </c>
      <c r="B194" s="5" t="s">
        <v>12</v>
      </c>
      <c r="D194" s="80" t="s">
        <v>30</v>
      </c>
      <c r="E194" s="76" t="s">
        <v>418</v>
      </c>
      <c r="F194" s="5" t="s">
        <v>5</v>
      </c>
      <c r="G194" s="158" t="s">
        <v>62</v>
      </c>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61" t="s">
        <v>147</v>
      </c>
      <c r="B195" s="61" t="s">
        <v>12</v>
      </c>
      <c r="C195" s="72"/>
      <c r="D195" s="61" t="s">
        <v>31</v>
      </c>
      <c r="E195" s="60" t="s">
        <v>419</v>
      </c>
      <c r="F195" s="12"/>
      <c r="G195" s="157" t="s">
        <v>62</v>
      </c>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173</v>
      </c>
      <c r="E196" s="130" t="s">
        <v>534</v>
      </c>
      <c r="F196" s="82" t="s">
        <v>151</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x14ac:dyDescent="0.3">
      <c r="A197" s="5" t="s">
        <v>147</v>
      </c>
      <c r="B197" s="5" t="s">
        <v>8</v>
      </c>
      <c r="D197" s="82" t="s">
        <v>178</v>
      </c>
      <c r="E197" s="130" t="s">
        <v>537</v>
      </c>
      <c r="F197" s="82" t="s">
        <v>180</v>
      </c>
      <c r="G197" s="158" t="s">
        <v>62</v>
      </c>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ht="28.8" x14ac:dyDescent="0.3">
      <c r="A198" s="5" t="s">
        <v>147</v>
      </c>
      <c r="B198" s="160" t="s">
        <v>13</v>
      </c>
      <c r="D198" s="82" t="s">
        <v>189</v>
      </c>
      <c r="E198" s="101" t="s">
        <v>301</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integer</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x14ac:dyDescent="0.3">
      <c r="A199" s="5" t="s">
        <v>147</v>
      </c>
      <c r="B199" s="5" t="s">
        <v>8</v>
      </c>
      <c r="D199" s="82" t="s">
        <v>148</v>
      </c>
      <c r="E199" s="130" t="s">
        <v>541</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28.8" x14ac:dyDescent="0.3">
      <c r="A200" s="5" t="s">
        <v>147</v>
      </c>
      <c r="B200" s="5" t="s">
        <v>7</v>
      </c>
      <c r="C200" s="5">
        <v>150</v>
      </c>
      <c r="D200" s="80" t="s">
        <v>399</v>
      </c>
      <c r="E200" s="76" t="s">
        <v>400</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ht="57.6" x14ac:dyDescent="0.3">
      <c r="A201" s="5" t="s">
        <v>147</v>
      </c>
      <c r="B201" s="5" t="s">
        <v>108</v>
      </c>
      <c r="D201" s="5" t="s">
        <v>138</v>
      </c>
      <c r="E201" s="101" t="s">
        <v>300</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x14ac:dyDescent="0.3">
      <c r="A202" s="5" t="s">
        <v>147</v>
      </c>
      <c r="B202" s="5" t="s">
        <v>108</v>
      </c>
      <c r="D202" s="95" t="s">
        <v>245</v>
      </c>
      <c r="E202" s="96" t="s">
        <v>246</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247</v>
      </c>
      <c r="E203" s="96" t="s">
        <v>248</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28.8" x14ac:dyDescent="0.3">
      <c r="A204" s="5" t="s">
        <v>147</v>
      </c>
      <c r="B204" s="5" t="s">
        <v>108</v>
      </c>
      <c r="D204" s="95" t="s">
        <v>250</v>
      </c>
      <c r="E204" s="96" t="s">
        <v>249</v>
      </c>
      <c r="F204" s="5" t="s">
        <v>5</v>
      </c>
      <c r="G204" s="4"/>
      <c r="H204" s="4"/>
      <c r="I204" s="4" t="str">
        <f t="shared" ref="I204:I205" si="22">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43.2" x14ac:dyDescent="0.3">
      <c r="A205" s="5" t="s">
        <v>147</v>
      </c>
      <c r="B205" s="69" t="s">
        <v>9</v>
      </c>
      <c r="C205" s="72"/>
      <c r="D205" s="69" t="s">
        <v>437</v>
      </c>
      <c r="E205" s="70" t="s">
        <v>438</v>
      </c>
      <c r="F205" s="12"/>
      <c r="G205" s="18"/>
      <c r="H205" s="18"/>
      <c r="I205" s="4" t="str">
        <f t="shared" si="22"/>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isSeniorityOverridden</v>
      </c>
      <c r="V205"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ht="28.8" x14ac:dyDescent="0.3">
      <c r="A206" s="5" t="s">
        <v>147</v>
      </c>
      <c r="B206" s="69" t="s">
        <v>7</v>
      </c>
      <c r="C206" s="72">
        <v>2048</v>
      </c>
      <c r="D206" s="69" t="s">
        <v>436</v>
      </c>
      <c r="E206" s="70" t="s">
        <v>439</v>
      </c>
      <c r="F206" s="12"/>
      <c r="G206" s="18"/>
      <c r="H206" s="18"/>
      <c r="I206" s="4" t="str">
        <f t="shared" si="21"/>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2048</v>
      </c>
      <c r="U206" s="4" t="str">
        <f>IF(LEN(Table2[[#This Row],[!Name]]) &gt; 0, Table2[[#This Row],[!Name]], "rg:None")</f>
        <v>seniorityOverrideReason</v>
      </c>
      <c r="V206" s="4" t="str">
        <f>IF(LEN(Table2[[#This Row],[!Description]]) &gt; 0, Table2[[#This Row],[!Description]], "rg:None")</f>
        <v>A text reason for why the piece of equipments underlying data was overridden to change their seniority number.</v>
      </c>
      <c r="W206" s="4" t="str">
        <f>IF(LEN(Table2[[#This Row],[!FK]])&gt;0,Table2[[#This Row],[!FK]],"rg:None")</f>
        <v>rg:None</v>
      </c>
      <c r="X206" s="14" t="str">
        <f>IF(LEN(concatif2(A:A,Table2[[#This Row],[!Table]],G:G,"Y",D:D,",")) &gt; 0,"rg:[ { 'req' : '"&amp;concatif2(A:A,Table2[[#This Row],[!Table]],G:G,"Y",D:D,"' }, { 'req': '")&amp;"'} ]","rg:[]")</f>
        <v>rg:[ { 'req' : 'id' }, { 'req': 'startDate' }, { 'req': 'endDate' }, { 'req': 'localArea' }, { 'req': 'equipment'} ]</v>
      </c>
      <c r="Y206" s="4" t="str">
        <f>IF(LEN(Table2[[#This Row],[!Unique]])&gt;0,IF(Table2[[#This Row],[!Type]] = "id", "rg:None","rg:True"),"rg:None")</f>
        <v>rg:None</v>
      </c>
    </row>
    <row r="207" spans="1:25" x14ac:dyDescent="0.3">
      <c r="A207" s="5" t="s">
        <v>145</v>
      </c>
      <c r="B207" s="5" t="s">
        <v>4</v>
      </c>
      <c r="D207" s="5" t="s">
        <v>145</v>
      </c>
      <c r="E207" s="76" t="s">
        <v>365</v>
      </c>
      <c r="F207" s="5" t="s">
        <v>5</v>
      </c>
      <c r="G207" s="4"/>
      <c r="H207" s="4"/>
      <c r="I207" s="4" t="str">
        <f t="shared" ref="I207:I229" si="23">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Owner</v>
      </c>
      <c r="V207" s="4" t="str">
        <f>IF(LEN(Table2[[#This Row],[!Description]]) &gt; 0, Table2[[#This Row],[!Description]], "rg:None")</f>
        <v>The person or company to which a piece of construction equipment belongs.</v>
      </c>
      <c r="W207" s="4" t="str">
        <f>IF(LEN(Table2[[#This Row],[!FK]])&gt;0,Table2[[#This Row],[!FK]],"rg:None")</f>
        <v>rg:None</v>
      </c>
      <c r="X207" s="14" t="str">
        <f>IF(LEN(concatif2(A:A,Table2[[#This Row],[!Table]],G:G,"Y",D:D,",")) &gt; 0,"rg:[ { 'req' : '"&amp;concatif2(A:A,Table2[[#This Row],[!Table]],G:G,"Y",D:D,"' }, { 'req': '")&amp;"'} ]","rg:[]")</f>
        <v>rg:[ { 'req' : 'id' }, { 'req': 'ownerCode' }, { 'req': 'organizationName' }, { 'req': 'meetsResidency' }, { 'req': 'localArea' }, { 'req': 'status'} ]</v>
      </c>
      <c r="Y207" s="4" t="str">
        <f>IF(LEN(Table2[[#This Row],[!Unique]])&gt;0,IF(Table2[[#This Row],[!Type]] = "id", "rg:None","rg:True"),"rg:None")</f>
        <v>rg:None</v>
      </c>
    </row>
    <row r="208" spans="1:25" x14ac:dyDescent="0.3">
      <c r="A208" s="5" t="s">
        <v>145</v>
      </c>
      <c r="B208" s="5" t="s">
        <v>6</v>
      </c>
      <c r="D208" s="5" t="s">
        <v>6</v>
      </c>
      <c r="E208" s="54" t="s">
        <v>356</v>
      </c>
      <c r="F208" s="5" t="s">
        <v>5</v>
      </c>
      <c r="G208" s="4"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Owner</v>
      </c>
      <c r="W208" s="4" t="str">
        <f>IF(LEN(Table2[[#This Row],[!FK]])&gt;0,Table2[[#This Row],[!FK]],"rg:None")</f>
        <v>rg:None</v>
      </c>
      <c r="X208" s="14" t="str">
        <f>IF(LEN(concatif2(A:A,Table2[[#This Row],[!Table]],G:G,"Y",D:D,",")) &gt; 0,"rg:[ { 'req' : '"&amp;concatif2(A:A,Table2[[#This Row],[!Table]],G:G,"Y",D:D,"' }, { 'req': '")&amp;"'} ]","rg:[]")</f>
        <v>rg:[ { 'req' : 'id' }, { 'req': 'ownerCode' }, { 'req': 'organizationName' }, { 'req': 'meetsResidency' }, { 'req': 'localArea' }, { 'req': 'status'} ]</v>
      </c>
      <c r="Y208" s="4" t="str">
        <f>IF(LEN(Table2[[#This Row],[!Unique]])&gt;0,IF(Table2[[#This Row],[!Type]] = "id", "rg:None","rg:True"),"rg:None")</f>
        <v>rg:None</v>
      </c>
    </row>
    <row r="209" spans="1:25" ht="43.2" x14ac:dyDescent="0.3">
      <c r="A209" s="5" t="s">
        <v>145</v>
      </c>
      <c r="B209" s="5" t="s">
        <v>7</v>
      </c>
      <c r="C209" s="5">
        <v>20</v>
      </c>
      <c r="D209" s="170" t="s">
        <v>608</v>
      </c>
      <c r="E209" s="100" t="s">
        <v>302</v>
      </c>
      <c r="F209" s="5" t="s">
        <v>5</v>
      </c>
      <c r="G209" s="63" t="s">
        <v>62</v>
      </c>
      <c r="H209" s="63" t="s">
        <v>62</v>
      </c>
      <c r="I209" s="4" t="str">
        <f t="shared" si="23"/>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v>
      </c>
      <c r="U209" s="4" t="str">
        <f>IF(LEN(Table2[[#This Row],[!Name]]) &gt; 0, Table2[[#This Row],[!Name]], "rg:None")</f>
        <v>ownerCode</v>
      </c>
      <c r="V209"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9" s="4" t="str">
        <f>IF(LEN(Table2[[#This Row],[!FK]])&gt;0,Table2[[#This Row],[!FK]],"rg:None")</f>
        <v>rg:None</v>
      </c>
      <c r="X209" s="14" t="str">
        <f>IF(LEN(concatif2(A:A,Table2[[#This Row],[!Table]],G:G,"Y",D:D,",")) &gt; 0,"rg:[ { 'req' : '"&amp;concatif2(A:A,Table2[[#This Row],[!Table]],G:G,"Y",D:D,"' }, { 'req': '")&amp;"'} ]","rg:[]")</f>
        <v>rg:[ { 'req' : 'id' }, { 'req': 'ownerCode' }, { 'req': 'organizationName' }, { 'req': 'meetsResidency' }, { 'req': 'localArea' }, { 'req': 'status'} ]</v>
      </c>
      <c r="Y209" s="4" t="str">
        <f>IF(LEN(Table2[[#This Row],[!Unique]])&gt;0,IF(Table2[[#This Row],[!Type]] = "id", "rg:None","rg:True"),"rg:None")</f>
        <v>rg:True</v>
      </c>
    </row>
    <row r="210" spans="1:25" ht="28.8" x14ac:dyDescent="0.3">
      <c r="A210" s="61" t="s">
        <v>145</v>
      </c>
      <c r="B210" s="61" t="s">
        <v>7</v>
      </c>
      <c r="C210" s="72">
        <v>150</v>
      </c>
      <c r="D210" s="61" t="s">
        <v>397</v>
      </c>
      <c r="E210" s="60" t="s">
        <v>398</v>
      </c>
      <c r="F210" s="12"/>
      <c r="G210" s="157" t="s">
        <v>62</v>
      </c>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organizationName</v>
      </c>
      <c r="V210" s="4" t="str">
        <f>IF(LEN(Table2[[#This Row],[!Description]]) &gt; 0, Table2[[#This Row],[!Description]], "rg:None")</f>
        <v>The name of the organization of the Owner. May simply be the First Name, Last Name of the Owner if the Owner is a sole proprietorship, or the name of a company.</v>
      </c>
      <c r="W210" s="4" t="str">
        <f>IF(LEN(Table2[[#This Row],[!FK]])&gt;0,Table2[[#This Row],[!FK]],"rg:None")</f>
        <v>rg:None</v>
      </c>
      <c r="X210" s="14" t="str">
        <f>IF(LEN(concatif2(A:A,Table2[[#This Row],[!Table]],G:G,"Y",D:D,",")) &gt; 0,"rg:[ { 'req' : '"&amp;concatif2(A:A,Table2[[#This Row],[!Table]],G:G,"Y",D:D,"' }, { 'req': '")&amp;"'} ]","rg:[]")</f>
        <v>rg:[ { 'req' : 'id' }, { 'req': 'ownerCode'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432</v>
      </c>
      <c r="E211" s="70" t="s">
        <v>433</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doingBusinessAs</v>
      </c>
      <c r="V211" s="4" t="str">
        <f>IF(LEN(Table2[[#This Row],[!Description]]) &gt; 0, Table2[[#This Row],[!Description]], "rg:None")</f>
        <v xml:space="preserve">An official (per BC Registries) alternate name for an Owner organization under which it does business. The application does not verify the name against any registry/lookup. </v>
      </c>
      <c r="W211" s="4" t="str">
        <f>IF(LEN(Table2[[#This Row],[!FK]])&gt;0,Table2[[#This Row],[!FK]],"rg:None")</f>
        <v>rg:None</v>
      </c>
      <c r="X211" s="14" t="str">
        <f>IF(LEN(concatif2(A:A,Table2[[#This Row],[!Table]],G:G,"Y",D:D,",")) &gt; 0,"rg:[ { 'req' : '"&amp;concatif2(A:A,Table2[[#This Row],[!Table]],G:G,"Y",D:D,"' }, { 'req': '")&amp;"'} ]","rg:[]")</f>
        <v>rg:[ { 'req' : 'id' }, { 'req': 'ownerCode' }, { 'req': 'organizationName' }, { 'req': 'meetsResidency' }, { 'req': 'localArea' }, { 'req': 'status'} ]</v>
      </c>
      <c r="Y211" s="4" t="str">
        <f>IF(LEN(Table2[[#This Row],[!Unique]])&gt;0,IF(Table2[[#This Row],[!Type]] = "id", "rg:None","rg:True"),"rg:None")</f>
        <v>rg:None</v>
      </c>
    </row>
    <row r="212" spans="1:25" ht="28.8" x14ac:dyDescent="0.3">
      <c r="A212" s="69" t="s">
        <v>145</v>
      </c>
      <c r="B212" s="69" t="s">
        <v>7</v>
      </c>
      <c r="C212" s="72">
        <v>150</v>
      </c>
      <c r="D212" s="71" t="s">
        <v>441</v>
      </c>
      <c r="E212" s="70" t="s">
        <v>434</v>
      </c>
      <c r="F212" s="12"/>
      <c r="G212" s="18"/>
      <c r="H212" s="18"/>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registeredCompanyNumber</v>
      </c>
      <c r="V212" s="4" t="str">
        <f>IF(LEN(Table2[[#This Row],[!Description]]) &gt; 0, Table2[[#This Row],[!Description]], "rg:None")</f>
        <v>The BC Registries number under which the business is registered.  The application does not verify the number against any registry/lookup.</v>
      </c>
      <c r="W212" s="4" t="str">
        <f>IF(LEN(Table2[[#This Row],[!FK]])&gt;0,Table2[[#This Row],[!FK]],"rg:None")</f>
        <v>rg:None</v>
      </c>
      <c r="X212" s="14" t="str">
        <f>IF(LEN(concatif2(A:A,Table2[[#This Row],[!Table]],G:G,"Y",D:D,",")) &gt; 0,"rg:[ { 'req' : '"&amp;concatif2(A:A,Table2[[#This Row],[!Table]],G:G,"Y",D:D,"' }, { 'req': '")&amp;"'} ]","rg:[]")</f>
        <v>rg:[ { 'req' : 'id' }, { 'req': 'ownerCode' }, { 'req': 'organizationName' }, { 'req': 'meetsResidency' }, { 'req': 'localArea' }, { 'req': 'status'} ]</v>
      </c>
      <c r="Y212" s="4" t="str">
        <f>IF(LEN(Table2[[#This Row],[!Unique]])&gt;0,IF(Table2[[#This Row],[!Type]] = "id", "rg:None","rg:True"),"rg:None")</f>
        <v>rg:None</v>
      </c>
    </row>
    <row r="213" spans="1:25" ht="43.2" x14ac:dyDescent="0.3">
      <c r="A213" s="69" t="s">
        <v>145</v>
      </c>
      <c r="B213" s="69" t="s">
        <v>9</v>
      </c>
      <c r="C213" s="72"/>
      <c r="D213" s="71" t="s">
        <v>440</v>
      </c>
      <c r="E213" s="70" t="s">
        <v>435</v>
      </c>
      <c r="F213" s="12"/>
      <c r="G213" s="157" t="s">
        <v>62</v>
      </c>
      <c r="H213" s="18"/>
      <c r="I213" s="4" t="str">
        <f>IF(LEN(A213) &gt; 0,"Defs","-")</f>
        <v>Defs</v>
      </c>
      <c r="J213" s="4" t="str">
        <f>IF(Table2[[#This Row],[!Type]]=J$1, J$1,"rg:None")</f>
        <v>boolean</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meetsResidency</v>
      </c>
      <c r="V213"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3" s="4" t="str">
        <f>IF(LEN(Table2[[#This Row],[!FK]])&gt;0,Table2[[#This Row],[!FK]],"rg:None")</f>
        <v>rg:None</v>
      </c>
      <c r="X213" s="14" t="str">
        <f>IF(LEN(concatif2(A:A,Table2[[#This Row],[!Table]],G:G,"Y",D:D,",")) &gt; 0,"rg:[ { 'req' : '"&amp;concatif2(A:A,Table2[[#This Row],[!Table]],G:G,"Y",D:D,"' }, { 'req': '")&amp;"'} ]","rg:[]")</f>
        <v>rg:[ { 'req' : 'id' }, { 'req': 'ownerCode' }, { 'req': 'organizationName' }, { 'req': 'meetsResidency' }, { 'req': 'localArea' }, { 'req': 'status'} ]</v>
      </c>
      <c r="Y213" s="4" t="str">
        <f>IF(LEN(Table2[[#This Row],[!Unique]])&gt;0,IF(Table2[[#This Row],[!Type]] = "id", "rg:None","rg:True"),"rg:None")</f>
        <v>rg:None</v>
      </c>
    </row>
    <row r="214" spans="1:25" x14ac:dyDescent="0.3">
      <c r="A214" s="69" t="s">
        <v>145</v>
      </c>
      <c r="B214" s="3" t="s">
        <v>7</v>
      </c>
      <c r="C214" s="3">
        <v>80</v>
      </c>
      <c r="D214" s="117" t="s">
        <v>521</v>
      </c>
      <c r="E214" s="121" t="s">
        <v>165</v>
      </c>
      <c r="F214" s="3" t="s">
        <v>5</v>
      </c>
      <c r="G214" s="4"/>
      <c r="H214" s="4"/>
      <c r="I214" s="5" t="str">
        <f t="shared" ref="I214:I220" si="24">IF(LEN(A214) &gt; 0,"Defs","-")</f>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80</v>
      </c>
      <c r="U214" s="4" t="str">
        <f>IF(LEN(Table2[[#This Row],[!Name]]) &gt; 0, Table2[[#This Row],[!Name]], "rg:None")</f>
        <v>address1</v>
      </c>
      <c r="V214" s="4" t="str">
        <f>IF(LEN(Table2[[#This Row],[!Description]]) &gt; 0, Table2[[#This Row],[!Description]], "rg:None")</f>
        <v>Address 1 line of the address.</v>
      </c>
      <c r="W214" s="4" t="str">
        <f>IF(LEN(Table2[[#This Row],[!FK]])&gt;0,Table2[[#This Row],[!FK]],"rg:None")</f>
        <v>rg:None</v>
      </c>
      <c r="X214" s="14" t="str">
        <f>IF(LEN(concatif2(A:A,Table2[[#This Row],[!Table]],G:G,"Y",D:D,",")) &gt; 0,"rg:[ { 'req' : '"&amp;concatif2(A:A,Table2[[#This Row],[!Table]],G:G,"Y",D:D,"' }, { 'req': '")&amp;"'} ]","rg:[]")</f>
        <v>rg:[ { 'req' : 'id' }, { 'req': 'ownerCode' }, { 'req': 'organizationName' }, { 'req': 'meetsResidency' }, { 'req': 'localArea' }, { 'req': 'status'} ]</v>
      </c>
      <c r="Y214" s="4" t="str">
        <f>IF(LEN(Table2[[#This Row],[!Unique]])&gt;0,IF(Table2[[#This Row],[!Type]] = "id", "rg:None","rg:True"),"rg:None")</f>
        <v>rg:None</v>
      </c>
    </row>
    <row r="215" spans="1:25" x14ac:dyDescent="0.3">
      <c r="A215" s="69" t="s">
        <v>145</v>
      </c>
      <c r="B215" s="3" t="s">
        <v>7</v>
      </c>
      <c r="C215" s="3">
        <v>80</v>
      </c>
      <c r="D215" s="117" t="s">
        <v>522</v>
      </c>
      <c r="E215" s="118" t="s">
        <v>166</v>
      </c>
      <c r="F215" s="3" t="s">
        <v>5</v>
      </c>
      <c r="G215" s="4"/>
      <c r="H215" s="4"/>
      <c r="I215" s="5" t="str">
        <f t="shared" si="24"/>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80</v>
      </c>
      <c r="U215" s="4" t="str">
        <f>IF(LEN(Table2[[#This Row],[!Name]]) &gt; 0, Table2[[#This Row],[!Name]], "rg:None")</f>
        <v>address2</v>
      </c>
      <c r="V215" s="4" t="str">
        <f>IF(LEN(Table2[[#This Row],[!Description]]) &gt; 0, Table2[[#This Row],[!Description]], "rg:None")</f>
        <v>Address 2 line of the address.</v>
      </c>
      <c r="W215" s="4" t="str">
        <f>IF(LEN(Table2[[#This Row],[!FK]])&gt;0,Table2[[#This Row],[!FK]],"rg:None")</f>
        <v>rg:None</v>
      </c>
      <c r="X215" s="14" t="str">
        <f>IF(LEN(concatif2(A:A,Table2[[#This Row],[!Table]],G:G,"Y",D:D,",")) &gt; 0,"rg:[ { 'req' : '"&amp;concatif2(A:A,Table2[[#This Row],[!Table]],G:G,"Y",D:D,"' }, { 'req': '")&amp;"'} ]","rg:[]")</f>
        <v>rg:[ { 'req' : 'id' }, { 'req': 'ownerCode' }, { 'req': 'organizationName' }, { 'req': 'meetsResidency' }, { 'req': 'localArea' }, { 'req': 'status'} ]</v>
      </c>
      <c r="Y215" s="4" t="str">
        <f>IF(LEN(Table2[[#This Row],[!Unique]])&gt;0,IF(Table2[[#This Row],[!Type]] = "id", "rg:None","rg:True"),"rg:None")</f>
        <v>rg:None</v>
      </c>
    </row>
    <row r="216" spans="1:25" x14ac:dyDescent="0.3">
      <c r="A216" s="69" t="s">
        <v>145</v>
      </c>
      <c r="B216" s="3" t="s">
        <v>7</v>
      </c>
      <c r="C216" s="3">
        <v>100</v>
      </c>
      <c r="D216" s="117" t="s">
        <v>21</v>
      </c>
      <c r="E216" s="118" t="s">
        <v>167</v>
      </c>
      <c r="F216" s="3" t="s">
        <v>5</v>
      </c>
      <c r="G216" s="4"/>
      <c r="H216" s="4"/>
      <c r="I216" s="5" t="str">
        <f t="shared" si="2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100</v>
      </c>
      <c r="U216" s="4" t="str">
        <f>IF(LEN(Table2[[#This Row],[!Name]]) &gt; 0, Table2[[#This Row],[!Name]], "rg:None")</f>
        <v>city</v>
      </c>
      <c r="V216" s="4" t="str">
        <f>IF(LEN(Table2[[#This Row],[!Description]]) &gt; 0, Table2[[#This Row],[!Description]], "rg:None")</f>
        <v>The City of the address.</v>
      </c>
      <c r="W216" s="4" t="str">
        <f>IF(LEN(Table2[[#This Row],[!FK]])&gt;0,Table2[[#This Row],[!FK]],"rg:None")</f>
        <v>rg:None</v>
      </c>
      <c r="X216" s="14" t="str">
        <f>IF(LEN(concatif2(A:A,Table2[[#This Row],[!Table]],G:G,"Y",D:D,",")) &gt; 0,"rg:[ { 'req' : '"&amp;concatif2(A:A,Table2[[#This Row],[!Table]],G:G,"Y",D:D,"' }, { 'req': '")&amp;"'} ]","rg:[]")</f>
        <v>rg:[ { 'req' : 'id' }, { 'req': 'ownerCode' }, { 'req': 'organizationName' }, { 'req': 'meetsResidency' }, { 'req': 'localArea' }, { 'req': 'status'} ]</v>
      </c>
      <c r="Y216" s="4" t="str">
        <f>IF(LEN(Table2[[#This Row],[!Unique]])&gt;0,IF(Table2[[#This Row],[!Type]] = "id", "rg:None","rg:True"),"rg:None")</f>
        <v>rg:None</v>
      </c>
    </row>
    <row r="217" spans="1:25" x14ac:dyDescent="0.3">
      <c r="A217" s="69" t="s">
        <v>145</v>
      </c>
      <c r="B217" s="3" t="s">
        <v>7</v>
      </c>
      <c r="C217" s="3">
        <v>50</v>
      </c>
      <c r="D217" s="117" t="s">
        <v>168</v>
      </c>
      <c r="E217" s="118" t="s">
        <v>169</v>
      </c>
      <c r="F217" s="3" t="s">
        <v>5</v>
      </c>
      <c r="G217" s="4"/>
      <c r="H217" s="4"/>
      <c r="I217" s="5"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50</v>
      </c>
      <c r="U217" s="4" t="str">
        <f>IF(LEN(Table2[[#This Row],[!Name]]) &gt; 0, Table2[[#This Row],[!Name]], "rg:None")</f>
        <v>province</v>
      </c>
      <c r="V217" s="4" t="str">
        <f>IF(LEN(Table2[[#This Row],[!Description]]) &gt; 0, Table2[[#This Row],[!Description]], "rg:None")</f>
        <v>The Province of the address.</v>
      </c>
      <c r="W217" s="4" t="str">
        <f>IF(LEN(Table2[[#This Row],[!FK]])&gt;0,Table2[[#This Row],[!FK]],"rg:None")</f>
        <v>rg:None</v>
      </c>
      <c r="X217" s="14" t="str">
        <f>IF(LEN(concatif2(A:A,Table2[[#This Row],[!Table]],G:G,"Y",D:D,",")) &gt; 0,"rg:[ { 'req' : '"&amp;concatif2(A:A,Table2[[#This Row],[!Table]],G:G,"Y",D:D,"' }, { 'req': '")&amp;"'} ]","rg:[]")</f>
        <v>rg:[ { 'req' : 'id' }, { 'req': 'ownerCode' }, { 'req': 'organizationName' }, { 'req': 'meetsResidency' }, { 'req': 'localArea' }, { 'req': 'status'} ]</v>
      </c>
      <c r="Y217" s="4" t="str">
        <f>IF(LEN(Table2[[#This Row],[!Unique]])&gt;0,IF(Table2[[#This Row],[!Type]] = "id", "rg:None","rg:True"),"rg:None")</f>
        <v>rg:None</v>
      </c>
    </row>
    <row r="218" spans="1:25" x14ac:dyDescent="0.3">
      <c r="A218" s="69" t="s">
        <v>145</v>
      </c>
      <c r="B218" s="3" t="s">
        <v>7</v>
      </c>
      <c r="C218" s="3">
        <v>15</v>
      </c>
      <c r="D218" s="117" t="s">
        <v>170</v>
      </c>
      <c r="E218" s="118" t="s">
        <v>171</v>
      </c>
      <c r="F218" s="3" t="s">
        <v>5</v>
      </c>
      <c r="G218" s="4"/>
      <c r="H218" s="4"/>
      <c r="I218" s="5"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15</v>
      </c>
      <c r="U218" s="4" t="str">
        <f>IF(LEN(Table2[[#This Row],[!Name]]) &gt; 0, Table2[[#This Row],[!Name]], "rg:None")</f>
        <v>postalCode</v>
      </c>
      <c r="V218" s="4" t="str">
        <f>IF(LEN(Table2[[#This Row],[!Description]]) &gt; 0, Table2[[#This Row],[!Description]], "rg:None")</f>
        <v>The postal code of the address.</v>
      </c>
      <c r="W218" s="4" t="str">
        <f>IF(LEN(Table2[[#This Row],[!FK]])&gt;0,Table2[[#This Row],[!FK]],"rg:None")</f>
        <v>rg:None</v>
      </c>
      <c r="X218" s="14" t="str">
        <f>IF(LEN(concatif2(A:A,Table2[[#This Row],[!Table]],G:G,"Y",D:D,",")) &gt; 0,"rg:[ { 'req' : '"&amp;concatif2(A:A,Table2[[#This Row],[!Table]],G:G,"Y",D:D,"' }, { 'req': '")&amp;"'} ]","rg:[]")</f>
        <v>rg:[ { 'req' : 'id' }, { 'req': 'ownerCode' }, { 'req': 'organizationName' }, { 'req': 'meetsResidency' }, { 'req': 'localArea' }, { 'req': 'status'} ]</v>
      </c>
      <c r="Y218" s="4" t="str">
        <f>IF(LEN(Table2[[#This Row],[!Unique]])&gt;0,IF(Table2[[#This Row],[!Type]] = "id", "rg:None","rg:True"),"rg:None")</f>
        <v>rg:None</v>
      </c>
    </row>
    <row r="219" spans="1:25" x14ac:dyDescent="0.3">
      <c r="A219" s="69" t="s">
        <v>145</v>
      </c>
      <c r="B219" s="3" t="s">
        <v>7</v>
      </c>
      <c r="C219" s="3">
        <v>50</v>
      </c>
      <c r="D219" s="3" t="s">
        <v>16</v>
      </c>
      <c r="E219" s="118" t="s">
        <v>162</v>
      </c>
      <c r="F219" s="3" t="s">
        <v>5</v>
      </c>
      <c r="G219" s="119"/>
      <c r="H219" s="4"/>
      <c r="I219" s="5" t="str">
        <f t="shared" si="24"/>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givenName</v>
      </c>
      <c r="V219" s="4" t="str">
        <f>IF(LEN(Table2[[#This Row],[!Description]]) &gt; 0, Table2[[#This Row],[!Description]], "rg:None")</f>
        <v>The given name of the contact.</v>
      </c>
      <c r="W219" s="4" t="str">
        <f>IF(LEN(Table2[[#This Row],[!FK]])&gt;0,Table2[[#This Row],[!FK]],"rg:None")</f>
        <v>rg:None</v>
      </c>
      <c r="X219" s="14" t="str">
        <f>IF(LEN(concatif2(A:A,Table2[[#This Row],[!Table]],G:G,"Y",D:D,",")) &gt; 0,"rg:[ { 'req' : '"&amp;concatif2(A:A,Table2[[#This Row],[!Table]],G:G,"Y",D:D,"' }, { 'req': '")&amp;"'} ]","rg:[]")</f>
        <v>rg:[ { 'req' : 'id' }, { 'req': 'ownerCode' }, { 'req': 'organizationName' }, { 'req': 'meetsResidency' }, { 'req': 'localArea' }, { 'req': 'status'} ]</v>
      </c>
      <c r="Y219" s="4" t="str">
        <f>IF(LEN(Table2[[#This Row],[!Unique]])&gt;0,IF(Table2[[#This Row],[!Type]] = "id", "rg:None","rg:True"),"rg:None")</f>
        <v>rg:None</v>
      </c>
    </row>
    <row r="220" spans="1:25" x14ac:dyDescent="0.3">
      <c r="A220" s="69" t="s">
        <v>145</v>
      </c>
      <c r="B220" s="3" t="s">
        <v>7</v>
      </c>
      <c r="C220" s="3">
        <v>50</v>
      </c>
      <c r="D220" s="3" t="s">
        <v>17</v>
      </c>
      <c r="E220" s="118" t="s">
        <v>163</v>
      </c>
      <c r="F220" s="3" t="s">
        <v>5</v>
      </c>
      <c r="G220" s="119"/>
      <c r="H220" s="4"/>
      <c r="I220" s="5" t="str">
        <f t="shared" si="24"/>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surname</v>
      </c>
      <c r="V220" s="4" t="str">
        <f>IF(LEN(Table2[[#This Row],[!Description]]) &gt; 0, Table2[[#This Row],[!Description]], "rg:None")</f>
        <v>The surname of the contact.</v>
      </c>
      <c r="W220" s="4" t="str">
        <f>IF(LEN(Table2[[#This Row],[!FK]])&gt;0,Table2[[#This Row],[!FK]],"rg:None")</f>
        <v>rg:None</v>
      </c>
      <c r="X220" s="14" t="str">
        <f>IF(LEN(concatif2(A:A,Table2[[#This Row],[!Table]],G:G,"Y",D:D,",")) &gt; 0,"rg:[ { 'req' : '"&amp;concatif2(A:A,Table2[[#This Row],[!Table]],G:G,"Y",D:D,"' }, { 'req': '")&amp;"'} ]","rg:[]")</f>
        <v>rg:[ { 'req' : 'id' }, { 'req': 'ownerCode' }, { 'req': 'organizationName' }, { 'req': 'meetsResidency' }, { 'req': 'localArea' }, { 'req': 'status'} ]</v>
      </c>
      <c r="Y220" s="4" t="str">
        <f>IF(LEN(Table2[[#This Row],[!Unique]])&gt;0,IF(Table2[[#This Row],[!Type]] = "id", "rg:None","rg:True"),"rg:None")</f>
        <v>rg:None</v>
      </c>
    </row>
    <row r="221" spans="1:25" x14ac:dyDescent="0.3">
      <c r="A221" s="5" t="s">
        <v>145</v>
      </c>
      <c r="B221" s="23" t="s">
        <v>8</v>
      </c>
      <c r="C221" s="72"/>
      <c r="D221" s="23" t="s">
        <v>191</v>
      </c>
      <c r="E221" s="103" t="s">
        <v>192</v>
      </c>
      <c r="F221" s="77" t="s">
        <v>172</v>
      </c>
      <c r="G221" s="18"/>
      <c r="H221" s="18"/>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ref</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primaryContact</v>
      </c>
      <c r="V221" s="4" t="str">
        <f>IF(LEN(Table2[[#This Row],[!Description]]) &gt; 0, Table2[[#This Row],[!Description]], "rg:None")</f>
        <v>Link to the designated Primary Contact.</v>
      </c>
      <c r="W221" s="4" t="str">
        <f>IF(LEN(Table2[[#This Row],[!FK]])&gt;0,Table2[[#This Row],[!FK]],"rg:None")</f>
        <v>Contact</v>
      </c>
      <c r="X221" s="14" t="str">
        <f>IF(LEN(concatif2(A:A,Table2[[#This Row],[!Table]],G:G,"Y",D:D,",")) &gt; 0,"rg:[ { 'req' : '"&amp;concatif2(A:A,Table2[[#This Row],[!Table]],G:G,"Y",D:D,"' }, { 'req': '")&amp;"'} ]","rg:[]")</f>
        <v>rg:[ { 'req' : 'id' }, { 'req': 'ownerCode' }, { 'req': 'organizationName' }, { 'req': 'meetsResidency' }, { 'req': 'localArea' }, { 'req': 'status'} ]</v>
      </c>
      <c r="Y221" s="4" t="str">
        <f>IF(LEN(Table2[[#This Row],[!Unique]])&gt;0,IF(Table2[[#This Row],[!Type]] = "id", "rg:None","rg:True"),"rg:None")</f>
        <v>rg:None</v>
      </c>
    </row>
    <row r="222" spans="1:25" x14ac:dyDescent="0.3">
      <c r="A222" s="5" t="s">
        <v>145</v>
      </c>
      <c r="B222" s="102" t="s">
        <v>8</v>
      </c>
      <c r="D222" s="102" t="s">
        <v>173</v>
      </c>
      <c r="F222" s="102" t="s">
        <v>151</v>
      </c>
      <c r="G222" s="158" t="s">
        <v>62</v>
      </c>
      <c r="H222" s="4"/>
      <c r="I222" s="4" t="str">
        <f t="shared" si="23"/>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ref</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localArea</v>
      </c>
      <c r="V222" s="4" t="str">
        <f>IF(LEN(Table2[[#This Row],[!Description]]) &gt; 0, Table2[[#This Row],[!Description]], "rg:None")</f>
        <v>rg:None</v>
      </c>
      <c r="W222" s="4" t="str">
        <f>IF(LEN(Table2[[#This Row],[!FK]])&gt;0,Table2[[#This Row],[!FK]],"rg:None")</f>
        <v>LocalArea</v>
      </c>
      <c r="X222" s="14" t="str">
        <f>IF(LEN(concatif2(A:A,Table2[[#This Row],[!Table]],G:G,"Y",D:D,",")) &gt; 0,"rg:[ { 'req' : '"&amp;concatif2(A:A,Table2[[#This Row],[!Table]],G:G,"Y",D:D,"' }, { 'req': '")&amp;"'} ]","rg:[]")</f>
        <v>rg:[ { 'req' : 'id' }, { 'req': 'ownerCode' }, { 'req': 'organizationName' }, { 'req': 'meetsResidency' }, { 'req': 'localArea' }, { 'req': 'status'} ]</v>
      </c>
      <c r="Y222" s="4" t="str">
        <f>IF(LEN(Table2[[#This Row],[!Unique]])&gt;0,IF(Table2[[#This Row],[!Type]] = "id", "rg:None","rg:True"),"rg:None")</f>
        <v>rg:None</v>
      </c>
    </row>
    <row r="223" spans="1:25" ht="28.8" x14ac:dyDescent="0.3">
      <c r="A223" s="5" t="s">
        <v>145</v>
      </c>
      <c r="B223" s="102" t="s">
        <v>9</v>
      </c>
      <c r="D223" s="102" t="s">
        <v>303</v>
      </c>
      <c r="E223" s="101" t="s">
        <v>304</v>
      </c>
      <c r="F223" s="5" t="s">
        <v>5</v>
      </c>
      <c r="G223" s="4"/>
      <c r="H223" s="4"/>
      <c r="I223" s="4" t="str">
        <f t="shared" si="23"/>
        <v>Defs</v>
      </c>
      <c r="J223" s="4" t="str">
        <f>IF(Table2[[#This Row],[!Type]]=J$1, J$1,"rg:None")</f>
        <v>boolean</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isMaintenanceContractor</v>
      </c>
      <c r="V223" s="4" t="str">
        <f>IF(LEN(Table2[[#This Row],[!Description]]) &gt; 0, Table2[[#This Row],[!Description]], "rg:None")</f>
        <v>True if the owner is contracted by MOTI to handle Maintenance activities in the area - e.g. provided services in address unscheduled issues on the roads in the area.</v>
      </c>
      <c r="W223" s="4" t="str">
        <f>IF(LEN(Table2[[#This Row],[!FK]])&gt;0,Table2[[#This Row],[!FK]],"rg:None")</f>
        <v>rg:None</v>
      </c>
      <c r="X223" s="14" t="str">
        <f>IF(LEN(concatif2(A:A,Table2[[#This Row],[!Table]],G:G,"Y",D:D,",")) &gt; 0,"rg:[ { 'req' : '"&amp;concatif2(A:A,Table2[[#This Row],[!Table]],G:G,"Y",D:D,"' }, { 'req': '")&amp;"'} ]","rg:[]")</f>
        <v>rg:[ { 'req' : 'id' }, { 'req': 'ownerCode' }, { 'req': 'organizationName' }, { 'req': 'meetsResidency' }, { 'req': 'localArea' }, { 'req': 'status'} ]</v>
      </c>
      <c r="Y223" s="4" t="str">
        <f>IF(LEN(Table2[[#This Row],[!Unique]])&gt;0,IF(Table2[[#This Row],[!Type]] = "id", "rg:None","rg:True"),"rg:None")</f>
        <v>rg:None</v>
      </c>
    </row>
    <row r="224" spans="1:25" x14ac:dyDescent="0.3">
      <c r="A224" s="111" t="s">
        <v>145</v>
      </c>
      <c r="B224" s="111" t="s">
        <v>7</v>
      </c>
      <c r="C224" s="72">
        <v>50</v>
      </c>
      <c r="D224" s="111" t="s">
        <v>500</v>
      </c>
      <c r="E224" s="112" t="s">
        <v>498</v>
      </c>
      <c r="F224" s="12"/>
      <c r="G224" s="18"/>
      <c r="H224" s="18"/>
      <c r="I224" s="4" t="str">
        <f>IF(LEN(A224) &gt; 0,"Defs","-")</f>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50</v>
      </c>
      <c r="U224" s="4" t="str">
        <f>IF(LEN(Table2[[#This Row],[!Name]]) &gt; 0, Table2[[#This Row],[!Name]], "rg:None")</f>
        <v>workSafeBCPolicyNumber</v>
      </c>
      <c r="V224" s="4" t="str">
        <f>IF(LEN(Table2[[#This Row],[!Description]]) &gt; 0, Table2[[#This Row],[!Description]], "rg:None")</f>
        <v>The Owner's WorkSafeBC (aka WCB) Insurance Policy Number.</v>
      </c>
      <c r="W224" s="4" t="str">
        <f>IF(LEN(Table2[[#This Row],[!FK]])&gt;0,Table2[[#This Row],[!FK]],"rg:None")</f>
        <v>rg:None</v>
      </c>
      <c r="X224" s="14" t="str">
        <f>IF(LEN(concatif2(A:A,Table2[[#This Row],[!Table]],G:G,"Y",D:D,",")) &gt; 0,"rg:[ { 'req' : '"&amp;concatif2(A:A,Table2[[#This Row],[!Table]],G:G,"Y",D:D,"' }, { 'req': '")&amp;"'} ]","rg:[]")</f>
        <v>rg:[ { 'req' : 'id' }, { 'req': 'ownerCode' }, { 'req': 'organizationName' }, { 'req': 'meetsResidency' }, { 'req': 'localArea' }, { 'req': 'status'} ]</v>
      </c>
      <c r="Y224" s="4" t="str">
        <f>IF(LEN(Table2[[#This Row],[!Unique]])&gt;0,IF(Table2[[#This Row],[!Type]] = "id", "rg:None","rg:True"),"rg:None")</f>
        <v>rg:None</v>
      </c>
    </row>
    <row r="225" spans="1:25" x14ac:dyDescent="0.3">
      <c r="A225" s="5" t="s">
        <v>145</v>
      </c>
      <c r="B225" s="82" t="s">
        <v>12</v>
      </c>
      <c r="D225" s="116" t="s">
        <v>501</v>
      </c>
      <c r="E225" s="113" t="s">
        <v>499</v>
      </c>
      <c r="F225" s="5" t="s">
        <v>5</v>
      </c>
      <c r="G225" s="4"/>
      <c r="H225" s="4"/>
      <c r="I225" s="4" t="str">
        <f t="shared" si="23"/>
        <v>Defs</v>
      </c>
      <c r="J225" s="4" t="str">
        <f>IF(Table2[[#This Row],[!Type]]=J$1, J$1,"rg:None")</f>
        <v>rg:None</v>
      </c>
      <c r="K225" s="4" t="str">
        <f>IF(Table2[[#This Row],[!Type]]=K$1, K$1,"rg:None")</f>
        <v>rg:None</v>
      </c>
      <c r="L225" s="4" t="str">
        <f>IF(Table2[[#This Row],[!Type]]=L$1, L$1,"rg:None")</f>
        <v>datetime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workSafeBCExpiryDate</v>
      </c>
      <c r="V225" s="4" t="str">
        <f>IF(LEN(Table2[[#This Row],[!Description]]) &gt; 0, Table2[[#This Row],[!Description]], "rg:None")</f>
        <v>The expiration of the owner's current WorkSafeBC (aka WCB) permit.</v>
      </c>
      <c r="W225" s="4" t="str">
        <f>IF(LEN(Table2[[#This Row],[!FK]])&gt;0,Table2[[#This Row],[!FK]],"rg:None")</f>
        <v>rg:None</v>
      </c>
      <c r="X225" s="14" t="str">
        <f>IF(LEN(concatif2(A:A,Table2[[#This Row],[!Table]],G:G,"Y",D:D,",")) &gt; 0,"rg:[ { 'req' : '"&amp;concatif2(A:A,Table2[[#This Row],[!Table]],G:G,"Y",D:D,"' }, { 'req': '")&amp;"'} ]","rg:[]")</f>
        <v>rg:[ { 'req' : 'id' }, { 'req': 'ownerCode' }, { 'req': 'organizationName' }, { 'req': 'meetsResidency' }, { 'req': 'localArea' }, { 'req': 'status'} ]</v>
      </c>
      <c r="Y225" s="4" t="str">
        <f>IF(LEN(Table2[[#This Row],[!Unique]])&gt;0,IF(Table2[[#This Row],[!Type]] = "id", "rg:None","rg:True"),"rg:None")</f>
        <v>rg:None</v>
      </c>
    </row>
    <row r="226" spans="1:25" ht="57.6" x14ac:dyDescent="0.3">
      <c r="A226" s="5" t="s">
        <v>145</v>
      </c>
      <c r="B226" s="82" t="s">
        <v>12</v>
      </c>
      <c r="D226" s="82" t="s">
        <v>174</v>
      </c>
      <c r="E226" s="101" t="s">
        <v>305</v>
      </c>
      <c r="F226" s="5" t="s">
        <v>5</v>
      </c>
      <c r="G226" s="4"/>
      <c r="H226" s="4"/>
      <c r="I226" s="4" t="str">
        <f t="shared" si="23"/>
        <v>Defs</v>
      </c>
      <c r="J226" s="4" t="str">
        <f>IF(Table2[[#This Row],[!Type]]=J$1, J$1,"rg:None")</f>
        <v>rg:None</v>
      </c>
      <c r="K226" s="4" t="str">
        <f>IF(Table2[[#This Row],[!Type]]=K$1, K$1,"rg:None")</f>
        <v>rg:None</v>
      </c>
      <c r="L226" s="4" t="str">
        <f>IF(Table2[[#This Row],[!Type]]=L$1, L$1,"rg:None")</f>
        <v>datetime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CGLEndDate</v>
      </c>
      <c r="V226"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26" s="4" t="str">
        <f>IF(LEN(Table2[[#This Row],[!FK]])&gt;0,Table2[[#This Row],[!FK]],"rg:None")</f>
        <v>rg:None</v>
      </c>
      <c r="X226" s="14" t="str">
        <f>IF(LEN(concatif2(A:A,Table2[[#This Row],[!Table]],G:G,"Y",D:D,",")) &gt; 0,"rg:[ { 'req' : '"&amp;concatif2(A:A,Table2[[#This Row],[!Table]],G:G,"Y",D:D,"' }, { 'req': '")&amp;"'} ]","rg:[]")</f>
        <v>rg:[ { 'req' : 'id' }, { 'req': 'ownerCode' }, { 'req': 'organizationName' }, { 'req': 'meetsResidency' }, { 'req': 'localArea' }, { 'req': 'status'} ]</v>
      </c>
      <c r="Y226" s="4" t="str">
        <f>IF(LEN(Table2[[#This Row],[!Unique]])&gt;0,IF(Table2[[#This Row],[!Type]] = "id", "rg:None","rg:True"),"rg:None")</f>
        <v>rg:None</v>
      </c>
    </row>
    <row r="227" spans="1:25" ht="57.6" x14ac:dyDescent="0.3">
      <c r="A227" s="5" t="s">
        <v>145</v>
      </c>
      <c r="B227" s="5" t="s">
        <v>7</v>
      </c>
      <c r="C227" s="5">
        <v>50</v>
      </c>
      <c r="D227" s="102" t="s">
        <v>230</v>
      </c>
      <c r="E227" s="101" t="s">
        <v>306</v>
      </c>
      <c r="F227" s="5" t="s">
        <v>5</v>
      </c>
      <c r="G227" s="158" t="s">
        <v>62</v>
      </c>
      <c r="H227" s="4"/>
      <c r="I227" s="4" t="str">
        <f t="shared" si="23"/>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50</v>
      </c>
      <c r="U227" s="4" t="str">
        <f>IF(LEN(Table2[[#This Row],[!Name]]) &gt; 0, Table2[[#This Row],[!Name]], "rg:None")</f>
        <v>status</v>
      </c>
      <c r="V227"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7" s="4" t="str">
        <f>IF(LEN(Table2[[#This Row],[!FK]])&gt;0,Table2[[#This Row],[!FK]],"rg:None")</f>
        <v>rg:None</v>
      </c>
      <c r="X227" s="14" t="str">
        <f>IF(LEN(concatif2(A:A,Table2[[#This Row],[!Table]],G:G,"Y",D:D,",")) &gt; 0,"rg:[ { 'req' : '"&amp;concatif2(A:A,Table2[[#This Row],[!Table]],G:G,"Y",D:D,"' }, { 'req': '")&amp;"'} ]","rg:[]")</f>
        <v>rg:[ { 'req' : 'id' }, { 'req': 'ownerCode' }, { 'req': 'organizationName' }, { 'req': 'meetsResidency' }, { 'req': 'localArea' }, { 'req': 'status'} ]</v>
      </c>
      <c r="Y227" s="4" t="str">
        <f>IF(LEN(Table2[[#This Row],[!Unique]])&gt;0,IF(Table2[[#This Row],[!Type]] = "id", "rg:None","rg:True"),"rg:None")</f>
        <v>rg:None</v>
      </c>
    </row>
    <row r="228" spans="1:25" ht="28.8" x14ac:dyDescent="0.3">
      <c r="A228" s="5" t="s">
        <v>145</v>
      </c>
      <c r="B228" s="5" t="s">
        <v>7</v>
      </c>
      <c r="C228" s="5">
        <v>50</v>
      </c>
      <c r="D228" s="102" t="s">
        <v>251</v>
      </c>
      <c r="E228" s="79" t="s">
        <v>425</v>
      </c>
      <c r="F228" s="5" t="s">
        <v>5</v>
      </c>
      <c r="G228" s="4"/>
      <c r="H228" s="4"/>
      <c r="I228" s="4" t="str">
        <f t="shared" si="23"/>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50</v>
      </c>
      <c r="U228" s="4" t="str">
        <f>IF(LEN(Table2[[#This Row],[!Name]]) &gt; 0, Table2[[#This Row],[!Name]], "rg:None")</f>
        <v>archiveCode</v>
      </c>
      <c r="V228" s="4" t="str">
        <f>IF(LEN(Table2[[#This Row],[!Description]]) &gt; 0, Table2[[#This Row],[!Description]], "rg:None")</f>
        <v>TO BE REVIEWED WITH THE BUSINESS - IS THIS NEEDED -A coded reason for why an owner record has been moved to Archived.</v>
      </c>
      <c r="W228" s="4" t="str">
        <f>IF(LEN(Table2[[#This Row],[!FK]])&gt;0,Table2[[#This Row],[!FK]],"rg:None")</f>
        <v>rg:None</v>
      </c>
      <c r="X228" s="14" t="str">
        <f>IF(LEN(concatif2(A:A,Table2[[#This Row],[!Table]],G:G,"Y",D:D,",")) &gt; 0,"rg:[ { 'req' : '"&amp;concatif2(A:A,Table2[[#This Row],[!Table]],G:G,"Y",D:D,"' }, { 'req': '")&amp;"'} ]","rg:[]")</f>
        <v>rg:[ { 'req' : 'id' }, { 'req': 'ownerCode' }, { 'req': 'organizationName' }, { 'req': 'meetsResidency' }, { 'req': 'localArea' }, { 'req': 'status'} ]</v>
      </c>
      <c r="Y228" s="4" t="str">
        <f>IF(LEN(Table2[[#This Row],[!Unique]])&gt;0,IF(Table2[[#This Row],[!Type]] = "id", "rg:None","rg:True"),"rg:None")</f>
        <v>rg:None</v>
      </c>
    </row>
    <row r="229" spans="1:25" x14ac:dyDescent="0.3">
      <c r="A229" s="5" t="s">
        <v>145</v>
      </c>
      <c r="B229" s="5" t="s">
        <v>7</v>
      </c>
      <c r="C229" s="5">
        <v>2048</v>
      </c>
      <c r="D229" s="5" t="s">
        <v>140</v>
      </c>
      <c r="E229" s="101" t="s">
        <v>307</v>
      </c>
      <c r="F229" s="5" t="s">
        <v>5</v>
      </c>
      <c r="G229" s="4"/>
      <c r="H229" s="4"/>
      <c r="I229" s="4" t="str">
        <f t="shared" si="23"/>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2048</v>
      </c>
      <c r="U229" s="4" t="str">
        <f>IF(LEN(Table2[[#This Row],[!Name]]) &gt; 0, Table2[[#This Row],[!Name]], "rg:None")</f>
        <v>archiveReason</v>
      </c>
      <c r="V229" s="4" t="str">
        <f>IF(LEN(Table2[[#This Row],[!Description]]) &gt; 0, Table2[[#This Row],[!Description]], "rg:None")</f>
        <v>A text note about why the owner record has been changed to Archived.</v>
      </c>
      <c r="W229" s="4" t="str">
        <f>IF(LEN(Table2[[#This Row],[!FK]])&gt;0,Table2[[#This Row],[!FK]],"rg:None")</f>
        <v>rg:None</v>
      </c>
      <c r="X229" s="14" t="str">
        <f>IF(LEN(concatif2(A:A,Table2[[#This Row],[!Table]],G:G,"Y",D:D,",")) &gt; 0,"rg:[ { 'req' : '"&amp;concatif2(A:A,Table2[[#This Row],[!Table]],G:G,"Y",D:D,"' }, { 'req': '")&amp;"'} ]","rg:[]")</f>
        <v>rg:[ { 'req' : 'id' }, { 'req': 'ownerCode' }, { 'req': 'organizationName' }, { 'req': 'meetsResidency' }, { 'req': 'localArea' }, { 'req': 'status'} ]</v>
      </c>
      <c r="Y229" s="4" t="str">
        <f>IF(LEN(Table2[[#This Row],[!Unique]])&gt;0,IF(Table2[[#This Row],[!Type]] = "id", "rg:None","rg:True"),"rg:None")</f>
        <v>rg:None</v>
      </c>
    </row>
    <row r="230" spans="1:25" ht="28.8" x14ac:dyDescent="0.3">
      <c r="A230" s="64" t="s">
        <v>145</v>
      </c>
      <c r="B230" s="64" t="s">
        <v>12</v>
      </c>
      <c r="C230" s="72"/>
      <c r="D230" s="64" t="s">
        <v>187</v>
      </c>
      <c r="E230" s="65" t="s">
        <v>421</v>
      </c>
      <c r="F230" s="12"/>
      <c r="G230" s="18"/>
      <c r="H230" s="18"/>
      <c r="I230" s="4" t="str">
        <f>IF(LEN(A230) &gt; 0,"Defs","-")</f>
        <v>Defs</v>
      </c>
      <c r="J230" s="4" t="str">
        <f>IF(Table2[[#This Row],[!Type]]=J$1, J$1,"rg:None")</f>
        <v>rg:None</v>
      </c>
      <c r="K230" s="4" t="str">
        <f>IF(Table2[[#This Row],[!Type]]=K$1, K$1,"rg:None")</f>
        <v>rg:None</v>
      </c>
      <c r="L230" s="4" t="str">
        <f>IF(Table2[[#This Row],[!Type]]=L$1, L$1,"rg:None")</f>
        <v>datetime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archiveDate</v>
      </c>
      <c r="V230" s="4" t="str">
        <f>IF(LEN(Table2[[#This Row],[!Description]]) &gt; 0, Table2[[#This Row],[!Description]], "rg:None")</f>
        <v>The date the Owner record was changed to Archived and removed from active use in the system.</v>
      </c>
      <c r="W230" s="4" t="str">
        <f>IF(LEN(Table2[[#This Row],[!FK]])&gt;0,Table2[[#This Row],[!FK]],"rg:None")</f>
        <v>rg:None</v>
      </c>
      <c r="X230" s="14" t="str">
        <f>IF(LEN(concatif2(A:A,Table2[[#This Row],[!Table]],G:G,"Y",D:D,",")) &gt; 0,"rg:[ { 'req' : '"&amp;concatif2(A:A,Table2[[#This Row],[!Table]],G:G,"Y",D:D,"' }, { 'req': '")&amp;"'} ]","rg:[]")</f>
        <v>rg:[ { 'req' : 'id' }, { 'req': 'ownerCode' }, { 'req': 'organizationName' }, { 'req': 'meetsResidency' }, { 'req': 'localArea' }, { 'req': 'status'} ]</v>
      </c>
      <c r="Y230" s="4" t="str">
        <f>IF(LEN(Table2[[#This Row],[!Unique]])&gt;0,IF(Table2[[#This Row],[!Type]] = "id", "rg:None","rg:True"),"rg:None")</f>
        <v>rg:None</v>
      </c>
    </row>
    <row r="231" spans="1:25" x14ac:dyDescent="0.3">
      <c r="A231" s="21" t="s">
        <v>145</v>
      </c>
      <c r="B231" s="21" t="s">
        <v>19</v>
      </c>
      <c r="C231" s="72"/>
      <c r="D231" s="21" t="s">
        <v>176</v>
      </c>
      <c r="E231" s="47"/>
      <c r="F231" s="82" t="s">
        <v>172</v>
      </c>
      <c r="G231" s="18"/>
      <c r="H231" s="18"/>
      <c r="I231" s="4" t="str">
        <f t="shared" ref="I231:I235" si="25">IF(LEN(A231) &gt; 0,"Defs","-")</f>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links</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contacts</v>
      </c>
      <c r="V231" s="4" t="str">
        <f>IF(LEN(Table2[[#This Row],[!Description]]) &gt; 0, Table2[[#This Row],[!Description]], "rg:None")</f>
        <v>rg:None</v>
      </c>
      <c r="W231" s="4" t="str">
        <f>IF(LEN(Table2[[#This Row],[!FK]])&gt;0,Table2[[#This Row],[!FK]],"rg:None")</f>
        <v>Contact</v>
      </c>
      <c r="X231" s="14" t="str">
        <f>IF(LEN(concatif2(A:A,Table2[[#This Row],[!Table]],G:G,"Y",D:D,",")) &gt; 0,"rg:[ { 'req' : '"&amp;concatif2(A:A,Table2[[#This Row],[!Table]],G:G,"Y",D:D,"' }, { 'req': '")&amp;"'} ]","rg:[]")</f>
        <v>rg:[ { 'req' : 'id' }, { 'req': 'ownerCode' }, { 'req': 'organizationName' }, { 'req': 'meetsResidency' }, { 'req': 'localArea' }, { 'req': 'status'} ]</v>
      </c>
      <c r="Y231" s="4" t="str">
        <f>IF(LEN(Table2[[#This Row],[!Unique]])&gt;0,IF(Table2[[#This Row],[!Type]] = "id", "rg:None","rg:True"),"rg:None")</f>
        <v>rg:None</v>
      </c>
    </row>
    <row r="232" spans="1:25" x14ac:dyDescent="0.3">
      <c r="A232" s="21" t="s">
        <v>145</v>
      </c>
      <c r="B232" s="21" t="s">
        <v>19</v>
      </c>
      <c r="C232" s="72"/>
      <c r="D232" s="21" t="s">
        <v>164</v>
      </c>
      <c r="E232" s="47"/>
      <c r="F232" s="22" t="s">
        <v>146</v>
      </c>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links</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notes</v>
      </c>
      <c r="V232" s="4" t="str">
        <f>IF(LEN(Table2[[#This Row],[!Description]]) &gt; 0, Table2[[#This Row],[!Description]], "rg:None")</f>
        <v>rg:None</v>
      </c>
      <c r="W232" s="4" t="str">
        <f>IF(LEN(Table2[[#This Row],[!FK]])&gt;0,Table2[[#This Row],[!FK]],"rg:None")</f>
        <v>Note</v>
      </c>
      <c r="X232" s="14" t="str">
        <f>IF(LEN(concatif2(A:A,Table2[[#This Row],[!Table]],G:G,"Y",D:D,",")) &gt; 0,"rg:[ { 'req' : '"&amp;concatif2(A:A,Table2[[#This Row],[!Table]],G:G,"Y",D:D,"' }, { 'req': '")&amp;"'} ]","rg:[]")</f>
        <v>rg:[ { 'req' : 'id' }, { 'req': 'ownerCode' }, { 'req': 'organizationName' }, { 'req': 'meetsResidency' }, { 'req': 'localArea' }, { 'req': 'status'} ]</v>
      </c>
      <c r="Y232" s="4" t="str">
        <f>IF(LEN(Table2[[#This Row],[!Unique]])&gt;0,IF(Table2[[#This Row],[!Type]] = "id", "rg:None","rg:True"),"rg:None")</f>
        <v>rg:None</v>
      </c>
    </row>
    <row r="233" spans="1:25" x14ac:dyDescent="0.3">
      <c r="A233" s="21" t="s">
        <v>145</v>
      </c>
      <c r="B233" s="21" t="s">
        <v>19</v>
      </c>
      <c r="C233" s="72"/>
      <c r="D233" s="21" t="s">
        <v>175</v>
      </c>
      <c r="E233" s="47"/>
      <c r="F233" s="81" t="s">
        <v>158</v>
      </c>
      <c r="G233" s="18"/>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links</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attachments</v>
      </c>
      <c r="V233" s="4" t="str">
        <f>IF(LEN(Table2[[#This Row],[!Description]]) &gt; 0, Table2[[#This Row],[!Description]], "rg:None")</f>
        <v>rg:None</v>
      </c>
      <c r="W233" s="4" t="str">
        <f>IF(LEN(Table2[[#This Row],[!FK]])&gt;0,Table2[[#This Row],[!FK]],"rg:None")</f>
        <v>Attachment</v>
      </c>
      <c r="X233" s="14" t="str">
        <f>IF(LEN(concatif2(A:A,Table2[[#This Row],[!Table]],G:G,"Y",D:D,",")) &gt; 0,"rg:[ { 'req' : '"&amp;concatif2(A:A,Table2[[#This Row],[!Table]],G:G,"Y",D:D,"' }, { 'req': '")&amp;"'} ]","rg:[]")</f>
        <v>rg:[ { 'req' : 'id' }, { 'req': 'ownerCode' }, { 'req': 'organizationName' }, { 'req': 'meetsResidency' }, { 'req': 'localArea' }, { 'req': 'status'} ]</v>
      </c>
      <c r="Y233" s="4" t="str">
        <f>IF(LEN(Table2[[#This Row],[!Unique]])&gt;0,IF(Table2[[#This Row],[!Type]] = "id", "rg:None","rg:True"),"rg:None")</f>
        <v>rg:None</v>
      </c>
    </row>
    <row r="234" spans="1:25" x14ac:dyDescent="0.3">
      <c r="A234" s="21" t="s">
        <v>145</v>
      </c>
      <c r="B234" s="21" t="s">
        <v>19</v>
      </c>
      <c r="C234" s="72"/>
      <c r="D234" s="21" t="s">
        <v>177</v>
      </c>
      <c r="E234" s="47"/>
      <c r="F234" s="82" t="s">
        <v>160</v>
      </c>
      <c r="G234" s="18"/>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links</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history</v>
      </c>
      <c r="V234" s="4" t="str">
        <f>IF(LEN(Table2[[#This Row],[!Description]]) &gt; 0, Table2[[#This Row],[!Description]], "rg:None")</f>
        <v>rg:None</v>
      </c>
      <c r="W234" s="4" t="str">
        <f>IF(LEN(Table2[[#This Row],[!FK]])&gt;0,Table2[[#This Row],[!FK]],"rg:None")</f>
        <v>History</v>
      </c>
      <c r="X234" s="14" t="str">
        <f>IF(LEN(concatif2(A:A,Table2[[#This Row],[!Table]],G:G,"Y",D:D,",")) &gt; 0,"rg:[ { 'req' : '"&amp;concatif2(A:A,Table2[[#This Row],[!Table]],G:G,"Y",D:D,"' }, { 'req': '")&amp;"'} ]","rg:[]")</f>
        <v>rg:[ { 'req' : 'id' }, { 'req': 'ownerCode' }, { 'req': 'organizationName' }, { 'req': 'meetsResidency' }, { 'req': 'localArea' }, { 'req': 'status'} ]</v>
      </c>
      <c r="Y234" s="4" t="str">
        <f>IF(LEN(Table2[[#This Row],[!Unique]])&gt;0,IF(Table2[[#This Row],[!Type]] = "id", "rg:None","rg:True"),"rg:None")</f>
        <v>rg:None</v>
      </c>
    </row>
    <row r="235" spans="1:25" x14ac:dyDescent="0.3">
      <c r="A235" s="21" t="s">
        <v>145</v>
      </c>
      <c r="B235" s="21" t="s">
        <v>19</v>
      </c>
      <c r="C235" s="72"/>
      <c r="D235" s="21" t="s">
        <v>179</v>
      </c>
      <c r="E235" s="47"/>
      <c r="F235" s="82" t="s">
        <v>180</v>
      </c>
      <c r="G235" s="18"/>
      <c r="H235" s="18"/>
      <c r="I235" s="4" t="str">
        <f t="shared" si="25"/>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links</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equipmentList</v>
      </c>
      <c r="V235" s="4" t="str">
        <f>IF(LEN(Table2[[#This Row],[!Description]]) &gt; 0, Table2[[#This Row],[!Description]], "rg:None")</f>
        <v>rg:None</v>
      </c>
      <c r="W235" s="4" t="str">
        <f>IF(LEN(Table2[[#This Row],[!FK]])&gt;0,Table2[[#This Row],[!FK]],"rg:None")</f>
        <v>Equipment</v>
      </c>
      <c r="X235" s="14" t="str">
        <f>IF(LEN(concatif2(A:A,Table2[[#This Row],[!Table]],G:G,"Y",D:D,",")) &gt; 0,"rg:[ { 'req' : '"&amp;concatif2(A:A,Table2[[#This Row],[!Table]],G:G,"Y",D:D,"' }, { 'req': '")&amp;"'} ]","rg:[]")</f>
        <v>rg:[ { 'req' : 'id' }, { 'req': 'ownerCode' }, { 'req': 'organizationName' }, { 'req': 'meetsResidency' }, { 'req': 'localArea' }, { 'req': 'status'} ]</v>
      </c>
      <c r="Y235" s="4" t="str">
        <f>IF(LEN(Table2[[#This Row],[!Unique]])&gt;0,IF(Table2[[#This Row],[!Type]] = "id", "rg:None","rg:True"),"rg:None")</f>
        <v>rg:None</v>
      </c>
    </row>
    <row r="236" spans="1:25" ht="43.2" x14ac:dyDescent="0.3">
      <c r="A236" s="153" t="s">
        <v>589</v>
      </c>
      <c r="B236" s="148" t="s">
        <v>4</v>
      </c>
      <c r="C236" s="72"/>
      <c r="D236" s="154" t="s">
        <v>589</v>
      </c>
      <c r="E236" s="149" t="s">
        <v>578</v>
      </c>
      <c r="F236" s="12"/>
      <c r="G236" s="18"/>
      <c r="H236" s="18"/>
      <c r="I236" s="4" t="str">
        <f t="shared" ref="I236:I242" si="26">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LookupList</v>
      </c>
      <c r="V236"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36" s="4" t="str">
        <f>IF(LEN(Table2[[#This Row],[!FK]])&gt;0,Table2[[#This Row],[!FK]],"rg:None")</f>
        <v>rg:None</v>
      </c>
      <c r="X236" s="14" t="str">
        <f>IF(LEN(concatif2(A:A,Table2[[#This Row],[!Table]],G:G,"Y",D:D,",")) &gt; 0,"rg:[ { 'req' : '"&amp;concatif2(A:A,Table2[[#This Row],[!Table]],G:G,"Y",D:D,"' }, { 'req': '")&amp;"'} ]","rg:[]")</f>
        <v>rg:[ { 'req' : 'id' }, { 'req': 'contextName' }, { 'req': 'isDefault' }, { 'req': 'codeName' }, { 'req': 'value'} ]</v>
      </c>
      <c r="Y236" s="4" t="str">
        <f>IF(LEN(Table2[[#This Row],[!Unique]])&gt;0,IF(Table2[[#This Row],[!Type]] = "id", "rg:None","rg:True"),"rg:None")</f>
        <v>rg:None</v>
      </c>
    </row>
    <row r="237" spans="1:25" x14ac:dyDescent="0.3">
      <c r="A237" s="153" t="s">
        <v>589</v>
      </c>
      <c r="B237" s="148" t="s">
        <v>6</v>
      </c>
      <c r="C237" s="72"/>
      <c r="D237" s="148" t="s">
        <v>6</v>
      </c>
      <c r="E237" s="150" t="s">
        <v>579</v>
      </c>
      <c r="F237" s="12"/>
      <c r="G237" s="151" t="s">
        <v>62</v>
      </c>
      <c r="H237" s="151" t="s">
        <v>62</v>
      </c>
      <c r="I237" s="4" t="str">
        <f t="shared" si="2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LookupList</v>
      </c>
      <c r="W237" s="4" t="str">
        <f>IF(LEN(Table2[[#This Row],[!FK]])&gt;0,Table2[[#This Row],[!FK]],"rg:None")</f>
        <v>rg:None</v>
      </c>
      <c r="X237" s="14" t="str">
        <f>IF(LEN(concatif2(A:A,Table2[[#This Row],[!Table]],G:G,"Y",D:D,",")) &gt; 0,"rg:[ { 'req' : '"&amp;concatif2(A:A,Table2[[#This Row],[!Table]],G:G,"Y",D:D,"' }, { 'req': '")&amp;"'} ]","rg:[]")</f>
        <v>rg:[ { 'req' : 'id' }, { 'req': 'contextName' }, { 'req': 'isDefault' }, { 'req': 'codeName' }, { 'req': 'value'} ]</v>
      </c>
      <c r="Y237" s="4" t="str">
        <f>IF(LEN(Table2[[#This Row],[!Unique]])&gt;0,IF(Table2[[#This Row],[!Type]] = "id", "rg:None","rg:True"),"rg:None")</f>
        <v>rg:None</v>
      </c>
    </row>
    <row r="238" spans="1:25" ht="28.8" x14ac:dyDescent="0.3">
      <c r="A238" s="153" t="s">
        <v>589</v>
      </c>
      <c r="B238" s="148" t="s">
        <v>7</v>
      </c>
      <c r="C238" s="72">
        <v>100</v>
      </c>
      <c r="D238" s="148" t="s">
        <v>580</v>
      </c>
      <c r="E238" s="149" t="s">
        <v>581</v>
      </c>
      <c r="F238" s="12"/>
      <c r="G238" s="157" t="s">
        <v>62</v>
      </c>
      <c r="H238" s="18"/>
      <c r="I238" s="4"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100</v>
      </c>
      <c r="U238" s="4" t="str">
        <f>IF(LEN(Table2[[#This Row],[!Name]]) &gt; 0, Table2[[#This Row],[!Name]], "rg:None")</f>
        <v>contextName</v>
      </c>
      <c r="V238" s="4" t="str">
        <f>IF(LEN(Table2[[#This Row],[!Description]]) &gt; 0, Table2[[#This Row],[!Description]], "rg:None")</f>
        <v>The context within the app in which this lookup list if used. Defined and referenced in the code of the application.</v>
      </c>
      <c r="W238" s="4" t="str">
        <f>IF(LEN(Table2[[#This Row],[!FK]])&gt;0,Table2[[#This Row],[!FK]],"rg:None")</f>
        <v>rg:None</v>
      </c>
      <c r="X238" s="14" t="str">
        <f>IF(LEN(concatif2(A:A,Table2[[#This Row],[!Table]],G:G,"Y",D:D,",")) &gt; 0,"rg:[ { 'req' : '"&amp;concatif2(A:A,Table2[[#This Row],[!Table]],G:G,"Y",D:D,"' }, { 'req': '")&amp;"'} ]","rg:[]")</f>
        <v>rg:[ { 'req' : 'id' }, { 'req': 'contextName' }, { 'req': 'isDefault' }, { 'req': 'codeName' }, { 'req': 'value'} ]</v>
      </c>
      <c r="Y238" s="4" t="str">
        <f>IF(LEN(Table2[[#This Row],[!Unique]])&gt;0,IF(Table2[[#This Row],[!Type]] = "id", "rg:None","rg:True"),"rg:None")</f>
        <v>rg:None</v>
      </c>
    </row>
    <row r="239" spans="1:25" x14ac:dyDescent="0.3">
      <c r="A239" s="153" t="s">
        <v>589</v>
      </c>
      <c r="B239" s="148" t="s">
        <v>9</v>
      </c>
      <c r="C239" s="72"/>
      <c r="D239" s="148" t="s">
        <v>26</v>
      </c>
      <c r="E239" s="149" t="s">
        <v>582</v>
      </c>
      <c r="F239" s="12"/>
      <c r="G239" s="157" t="s">
        <v>62</v>
      </c>
      <c r="H239" s="18"/>
      <c r="I239" s="4" t="str">
        <f t="shared" si="26"/>
        <v>Defs</v>
      </c>
      <c r="J239" s="4" t="str">
        <f>IF(Table2[[#This Row],[!Type]]=J$1, J$1,"rg:None")</f>
        <v>boolean</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isDefault</v>
      </c>
      <c r="V239" s="4" t="str">
        <f>IF(LEN(Table2[[#This Row],[!Description]]) &gt; 0, Table2[[#This Row],[!Description]], "rg:None")</f>
        <v>True of the value within the lookup list context should be the default for the lookup instance.</v>
      </c>
      <c r="W239" s="4" t="str">
        <f>IF(LEN(Table2[[#This Row],[!FK]])&gt;0,Table2[[#This Row],[!FK]],"rg:None")</f>
        <v>rg:None</v>
      </c>
      <c r="X239" s="14" t="str">
        <f>IF(LEN(concatif2(A:A,Table2[[#This Row],[!Table]],G:G,"Y",D:D,",")) &gt; 0,"rg:[ { 'req' : '"&amp;concatif2(A:A,Table2[[#This Row],[!Table]],G:G,"Y",D:D,"' }, { 'req': '")&amp;"'} ]","rg:[]")</f>
        <v>rg:[ { 'req' : 'id' }, { 'req': 'contextName' }, { 'req': 'isDefault' }, { 'req': 'codeName' }, { 'req': 'value'} ]</v>
      </c>
      <c r="Y239" s="4" t="str">
        <f>IF(LEN(Table2[[#This Row],[!Unique]])&gt;0,IF(Table2[[#This Row],[!Type]] = "id", "rg:None","rg:True"),"rg:None")</f>
        <v>rg:None</v>
      </c>
    </row>
    <row r="240" spans="1:25" x14ac:dyDescent="0.3">
      <c r="A240" s="153" t="s">
        <v>589</v>
      </c>
      <c r="B240" s="148" t="s">
        <v>13</v>
      </c>
      <c r="C240" s="72"/>
      <c r="D240" s="148" t="s">
        <v>583</v>
      </c>
      <c r="E240" s="149" t="s">
        <v>584</v>
      </c>
      <c r="F240" s="12"/>
      <c r="G240" s="18"/>
      <c r="H240" s="18"/>
      <c r="I240" s="4"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integer</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rg:None</v>
      </c>
      <c r="T240" s="4" t="str">
        <f>IF(LEN(Table2[[#This Row],[!Length]]) &gt; 0, Table2[[#This Row],[!Length]], "rg:None")</f>
        <v>rg:None</v>
      </c>
      <c r="U240" s="4" t="str">
        <f>IF(LEN(Table2[[#This Row],[!Name]]) &gt; 0, Table2[[#This Row],[!Name]], "rg:None")</f>
        <v>displaySortOrder</v>
      </c>
      <c r="V240" s="4" t="str">
        <f>IF(LEN(Table2[[#This Row],[!Description]]) &gt; 0, Table2[[#This Row],[!Description]], "rg:None")</f>
        <v>The sort order for list of values within a list context.</v>
      </c>
      <c r="W240" s="4" t="str">
        <f>IF(LEN(Table2[[#This Row],[!FK]])&gt;0,Table2[[#This Row],[!FK]],"rg:None")</f>
        <v>rg:None</v>
      </c>
      <c r="X240" s="14" t="str">
        <f>IF(LEN(concatif2(A:A,Table2[[#This Row],[!Table]],G:G,"Y",D:D,",")) &gt; 0,"rg:[ { 'req' : '"&amp;concatif2(A:A,Table2[[#This Row],[!Table]],G:G,"Y",D:D,"' }, { 'req': '")&amp;"'} ]","rg:[]")</f>
        <v>rg:[ { 'req' : 'id' }, { 'req': 'contextName' }, { 'req': 'isDefault' }, { 'req': 'codeName' }, { 'req': 'value'} ]</v>
      </c>
      <c r="Y240" s="4" t="str">
        <f>IF(LEN(Table2[[#This Row],[!Unique]])&gt;0,IF(Table2[[#This Row],[!Type]] = "id", "rg:None","rg:True"),"rg:None")</f>
        <v>rg:None</v>
      </c>
    </row>
    <row r="241" spans="1:25" ht="28.8" x14ac:dyDescent="0.3">
      <c r="A241" s="153" t="s">
        <v>589</v>
      </c>
      <c r="B241" s="148" t="s">
        <v>7</v>
      </c>
      <c r="C241" s="72">
        <v>30</v>
      </c>
      <c r="D241" s="148" t="s">
        <v>585</v>
      </c>
      <c r="E241" s="149" t="s">
        <v>587</v>
      </c>
      <c r="F241" s="12"/>
      <c r="G241" s="157" t="s">
        <v>62</v>
      </c>
      <c r="H241" s="18"/>
      <c r="I241" s="4"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30</v>
      </c>
      <c r="U241" s="4" t="str">
        <f>IF(LEN(Table2[[#This Row],[!Name]]) &gt; 0, Table2[[#This Row],[!Name]], "rg:None")</f>
        <v>codeName</v>
      </c>
      <c r="V241" s="4" t="str">
        <f>IF(LEN(Table2[[#This Row],[!Description]]) &gt; 0, Table2[[#This Row],[!Description]], "rg:None")</f>
        <v>The a shorter lookup name to find the value. Can be used at the option of the application to present on the screen a short version of the lookup list value.</v>
      </c>
      <c r="W241" s="4" t="str">
        <f>IF(LEN(Table2[[#This Row],[!FK]])&gt;0,Table2[[#This Row],[!FK]],"rg:None")</f>
        <v>rg:None</v>
      </c>
      <c r="X241" s="14" t="str">
        <f>IF(LEN(concatif2(A:A,Table2[[#This Row],[!Table]],G:G,"Y",D:D,",")) &gt; 0,"rg:[ { 'req' : '"&amp;concatif2(A:A,Table2[[#This Row],[!Table]],G:G,"Y",D:D,"' }, { 'req': '")&amp;"'} ]","rg:[]")</f>
        <v>rg:[ { 'req' : 'id' }, { 'req': 'contextName' }, { 'req': 'isDefault' }, { 'req': 'codeName' }, { 'req': 'value'} ]</v>
      </c>
      <c r="Y241" s="4" t="str">
        <f>IF(LEN(Table2[[#This Row],[!Unique]])&gt;0,IF(Table2[[#This Row],[!Type]] = "id", "rg:None","rg:True"),"rg:None")</f>
        <v>rg:None</v>
      </c>
    </row>
    <row r="242" spans="1:25" x14ac:dyDescent="0.3">
      <c r="A242" s="153" t="s">
        <v>589</v>
      </c>
      <c r="B242" s="148" t="s">
        <v>7</v>
      </c>
      <c r="C242" s="72">
        <v>100</v>
      </c>
      <c r="D242" s="148" t="s">
        <v>24</v>
      </c>
      <c r="E242" s="149" t="s">
        <v>586</v>
      </c>
      <c r="F242" s="12"/>
      <c r="G242" s="157" t="s">
        <v>62</v>
      </c>
      <c r="H242" s="18"/>
      <c r="I242" s="4"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100</v>
      </c>
      <c r="U242" s="4" t="str">
        <f>IF(LEN(Table2[[#This Row],[!Name]]) &gt; 0, Table2[[#This Row],[!Name]], "rg:None")</f>
        <v>value</v>
      </c>
      <c r="V242" s="4" t="str">
        <f>IF(LEN(Table2[[#This Row],[!Description]]) &gt; 0, Table2[[#This Row],[!Description]], "rg:None")</f>
        <v>The fully spelled out value of the lookup entry.</v>
      </c>
      <c r="W242" s="4" t="str">
        <f>IF(LEN(Table2[[#This Row],[!FK]])&gt;0,Table2[[#This Row],[!FK]],"rg:None")</f>
        <v>rg:None</v>
      </c>
      <c r="X242" s="14" t="str">
        <f>IF(LEN(concatif2(A:A,Table2[[#This Row],[!Table]],G:G,"Y",D:D,",")) &gt; 0,"rg:[ { 'req' : '"&amp;concatif2(A:A,Table2[[#This Row],[!Table]],G:G,"Y",D:D,"' }, { 'req': '")&amp;"'} ]","rg:[]")</f>
        <v>rg:[ { 'req' : 'id' }, { 'req': 'contextName' }, { 'req': 'isDefault' }, { 'req': 'codeName' }, { 'req': 'value'} ]</v>
      </c>
      <c r="Y242" s="4" t="str">
        <f>IF(LEN(Table2[[#This Row],[!Unique]])&gt;0,IF(Table2[[#This Row],[!Type]] = "id", "rg:None","rg:True"),"rg:None")</f>
        <v>rg:None</v>
      </c>
    </row>
    <row r="243" spans="1:25" ht="28.8" x14ac:dyDescent="0.3">
      <c r="A243" s="81" t="s">
        <v>172</v>
      </c>
      <c r="B243" s="5" t="s">
        <v>4</v>
      </c>
      <c r="D243" s="81" t="s">
        <v>172</v>
      </c>
      <c r="E243" s="76" t="s">
        <v>366</v>
      </c>
      <c r="F243" s="5" t="s">
        <v>5</v>
      </c>
      <c r="G243" s="4"/>
      <c r="H243" s="4"/>
      <c r="I243" s="5" t="str">
        <f t="shared" ref="I243:I257" si="27">IF(LEN(A243) &gt; 0,"Defs","-")</f>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table</v>
      </c>
      <c r="T243" s="4" t="str">
        <f>IF(LEN(Table2[[#This Row],[!Length]]) &gt; 0, Table2[[#This Row],[!Length]], "rg:None")</f>
        <v>rg:None</v>
      </c>
      <c r="U243" s="4" t="str">
        <f>IF(LEN(Table2[[#This Row],[!Name]]) &gt; 0, Table2[[#This Row],[!Name]], "rg:None")</f>
        <v>Contact</v>
      </c>
      <c r="V243" s="4" t="str">
        <f>IF(LEN(Table2[[#This Row],[!Description]]) &gt; 0, Table2[[#This Row],[!Description]], "rg:None")</f>
        <v>A person and their related contact information linked to one or more entities in the system. For examples, there are contacts for Owners, Projects.</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6</v>
      </c>
      <c r="C244" s="3"/>
      <c r="D244" s="3" t="s">
        <v>6</v>
      </c>
      <c r="E244" s="118" t="s">
        <v>308</v>
      </c>
      <c r="F244" s="3" t="s">
        <v>5</v>
      </c>
      <c r="G244" s="4" t="s">
        <v>62</v>
      </c>
      <c r="H244" s="119" t="s">
        <v>62</v>
      </c>
      <c r="I244" s="5" t="str">
        <f t="shared" si="27"/>
        <v>Defs</v>
      </c>
      <c r="J244" s="4" t="str">
        <f>IF(Table2[[#This Row],[!Type]]=J$1, J$1,"rg:None")</f>
        <v>rg:None</v>
      </c>
      <c r="K244" s="4" t="str">
        <f>IF(Table2[[#This Row],[!Type]]=K$1, K$1,"rg:None")</f>
        <v>rg:None</v>
      </c>
      <c r="L244" s="4" t="str">
        <f>IF(Table2[[#This Row],[!Type]]=L$1, L$1,"rg:None")</f>
        <v>rg:None</v>
      </c>
      <c r="M244" s="4" t="str">
        <f>IF(Table2[[#This Row],[!Type]]=M$1, M$1,"rg:None")</f>
        <v>id</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id</v>
      </c>
      <c r="V244" s="4" t="str">
        <f>IF(LEN(Table2[[#This Row],[!Description]]) &gt; 0, Table2[[#This Row],[!Description]], "rg:None")</f>
        <v>A system-generated unique identifier for a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50</v>
      </c>
      <c r="D245" s="3" t="s">
        <v>16</v>
      </c>
      <c r="E245" s="118" t="s">
        <v>162</v>
      </c>
      <c r="F245" s="3" t="s">
        <v>5</v>
      </c>
      <c r="G245" s="119"/>
      <c r="H245" s="4"/>
      <c r="I245" s="5" t="str">
        <f t="shared" si="27"/>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50</v>
      </c>
      <c r="U245" s="4" t="str">
        <f>IF(LEN(Table2[[#This Row],[!Name]]) &gt; 0, Table2[[#This Row],[!Name]], "rg:None")</f>
        <v>givenName</v>
      </c>
      <c r="V245" s="4" t="str">
        <f>IF(LEN(Table2[[#This Row],[!Description]]) &gt; 0, Table2[[#This Row],[!Description]], "rg:None")</f>
        <v>The given name of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3" t="s">
        <v>7</v>
      </c>
      <c r="C246" s="3">
        <v>50</v>
      </c>
      <c r="D246" s="3" t="s">
        <v>17</v>
      </c>
      <c r="E246" s="118" t="s">
        <v>163</v>
      </c>
      <c r="F246" s="3" t="s">
        <v>5</v>
      </c>
      <c r="G246" s="119"/>
      <c r="H246" s="4"/>
      <c r="I246" s="5" t="str">
        <f t="shared" si="27"/>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50</v>
      </c>
      <c r="U246" s="4" t="str">
        <f>IF(LEN(Table2[[#This Row],[!Name]]) &gt; 0, Table2[[#This Row],[!Name]], "rg:None")</f>
        <v>surname</v>
      </c>
      <c r="V246" s="4" t="str">
        <f>IF(LEN(Table2[[#This Row],[!Description]]) &gt; 0, Table2[[#This Row],[!Description]], "rg:None")</f>
        <v>The surname of the contact.</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100</v>
      </c>
      <c r="D247" s="3" t="s">
        <v>18</v>
      </c>
      <c r="E247" s="121" t="s">
        <v>309</v>
      </c>
      <c r="F247" s="3" t="s">
        <v>5</v>
      </c>
      <c r="G247" s="119"/>
      <c r="H247" s="4"/>
      <c r="I247" s="5" t="str">
        <f t="shared" si="27"/>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100</v>
      </c>
      <c r="U247" s="4" t="str">
        <f>IF(LEN(Table2[[#This Row],[!Name]]) &gt; 0, Table2[[#This Row],[!Name]], "rg:None")</f>
        <v>role</v>
      </c>
      <c r="V247" s="4" t="str">
        <f>IF(LEN(Table2[[#This Row],[!Description]]) &gt; 0, Table2[[#This Row],[!Description]], "rg:None")</f>
        <v>The role of the contact. UI controlled as to whether it is free form or selected from an enumerated list - for initial implementation, the field is freeform.</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512</v>
      </c>
      <c r="D248" s="3" t="s">
        <v>164</v>
      </c>
      <c r="E248" s="121" t="s">
        <v>310</v>
      </c>
      <c r="F248" s="3" t="s">
        <v>5</v>
      </c>
      <c r="G248" s="4"/>
      <c r="H248" s="4"/>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512</v>
      </c>
      <c r="U248" s="4" t="str">
        <f>IF(LEN(Table2[[#This Row],[!Name]]) &gt; 0, Table2[[#This Row],[!Name]], "rg:None")</f>
        <v>notes</v>
      </c>
      <c r="V248" s="4" t="str">
        <f>IF(LEN(Table2[[#This Row],[!Description]]) &gt; 0, Table2[[#This Row],[!Description]], "rg:None")</f>
        <v>A note about the contact maintained by the users.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20" t="s">
        <v>172</v>
      </c>
      <c r="B249" s="120" t="s">
        <v>7</v>
      </c>
      <c r="C249" s="3">
        <v>255</v>
      </c>
      <c r="D249" s="120" t="s">
        <v>513</v>
      </c>
      <c r="E249" s="120" t="s">
        <v>514</v>
      </c>
      <c r="F249" s="6"/>
      <c r="G249" s="18"/>
      <c r="H249" s="18"/>
      <c r="I249" s="5" t="str">
        <f t="shared" si="27"/>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255</v>
      </c>
      <c r="U249" s="4" t="str">
        <f>IF(LEN(Table2[[#This Row],[!Name]]) &gt; 0, Table2[[#This Row],[!Name]], "rg:None")</f>
        <v>emailAddress</v>
      </c>
      <c r="V249" s="4" t="str">
        <f>IF(LEN(Table2[[#This Row],[!Description]]) &gt; 0, Table2[[#This Row],[!Description]], "rg:None")</f>
        <v>The email address for the contact.</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20</v>
      </c>
      <c r="D250" s="117" t="s">
        <v>515</v>
      </c>
      <c r="E250" s="121" t="s">
        <v>516</v>
      </c>
      <c r="F250" s="3" t="s">
        <v>5</v>
      </c>
      <c r="G250" s="119"/>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v>
      </c>
      <c r="U250" s="4" t="str">
        <f>IF(LEN(Table2[[#This Row],[!Name]]) &gt; 0, Table2[[#This Row],[!Name]], "rg:None")</f>
        <v>workPhoneNumber</v>
      </c>
      <c r="V250" s="4" t="str">
        <f>IF(LEN(Table2[[#This Row],[!Description]]) &gt; 0, Table2[[#This Row],[!Description]], "rg:None")</f>
        <v>The work phone number for the contact.</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7" t="s">
        <v>172</v>
      </c>
      <c r="B251" s="3" t="s">
        <v>7</v>
      </c>
      <c r="C251" s="3">
        <v>20</v>
      </c>
      <c r="D251" s="117" t="s">
        <v>517</v>
      </c>
      <c r="E251" s="121" t="s">
        <v>518</v>
      </c>
      <c r="F251" s="3" t="s">
        <v>5</v>
      </c>
      <c r="G251" s="119"/>
      <c r="H251" s="4"/>
      <c r="I251" s="5" t="str">
        <f t="shared" si="27"/>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20</v>
      </c>
      <c r="U251" s="4" t="str">
        <f>IF(LEN(Table2[[#This Row],[!Name]]) &gt; 0, Table2[[#This Row],[!Name]], "rg:None")</f>
        <v>mobilePhoneNumber</v>
      </c>
      <c r="V251" s="4" t="str">
        <f>IF(LEN(Table2[[#This Row],[!Description]]) &gt; 0, Table2[[#This Row],[!Description]], "rg:None")</f>
        <v>The mobile phone number for the contact.</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x14ac:dyDescent="0.3">
      <c r="A252" s="117" t="s">
        <v>172</v>
      </c>
      <c r="B252" s="117" t="s">
        <v>7</v>
      </c>
      <c r="C252" s="3">
        <v>20</v>
      </c>
      <c r="D252" s="117" t="s">
        <v>519</v>
      </c>
      <c r="E252" s="121" t="s">
        <v>520</v>
      </c>
      <c r="F252" s="3" t="s">
        <v>5</v>
      </c>
      <c r="G252" s="4"/>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20</v>
      </c>
      <c r="U252" s="4" t="str">
        <f>IF(LEN(Table2[[#This Row],[!Name]]) &gt; 0, Table2[[#This Row],[!Name]], "rg:None")</f>
        <v>faxPhoneNumber</v>
      </c>
      <c r="V252" s="4" t="str">
        <f>IF(LEN(Table2[[#This Row],[!Description]]) &gt; 0, Table2[[#This Row],[!Description]], "rg:None")</f>
        <v>The fax phone number for the contact.</v>
      </c>
      <c r="W252" s="4" t="str">
        <f>IF(LEN(Table2[[#This Row],[!FK]])&gt;0,Table2[[#This Row],[!FK]],"rg:None")</f>
        <v>rg:None</v>
      </c>
      <c r="X252" s="14" t="str">
        <f>IF(LEN(concatif2(A:A,Table2[[#This Row],[!Table]],G:G,"Y",D:D,",")) &gt; 0,"rg:[ { 'req' : '"&amp;concatif2(A:A,Table2[[#This Row],[!Table]],G:G,"Y",D:D,"' }, { 'req': '")&amp;"'} ]","rg:[]")</f>
        <v>rg:[ { 'req' : 'id'} ]</v>
      </c>
      <c r="Y252" s="4" t="str">
        <f>IF(LEN(Table2[[#This Row],[!Unique]])&gt;0,IF(Table2[[#This Row],[!Type]] = "id", "rg:None","rg:True"),"rg:None")</f>
        <v>rg:None</v>
      </c>
    </row>
    <row r="253" spans="1:25" x14ac:dyDescent="0.3">
      <c r="A253" s="117" t="s">
        <v>172</v>
      </c>
      <c r="B253" s="3" t="s">
        <v>7</v>
      </c>
      <c r="C253" s="3">
        <v>80</v>
      </c>
      <c r="D253" s="117" t="s">
        <v>521</v>
      </c>
      <c r="E253" s="121" t="s">
        <v>165</v>
      </c>
      <c r="F253" s="3" t="s">
        <v>5</v>
      </c>
      <c r="G253" s="4"/>
      <c r="H253" s="4"/>
      <c r="I253" s="5" t="str">
        <f t="shared" si="27"/>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string</v>
      </c>
      <c r="S253" s="4" t="str">
        <f>IF(Table2[[#This Row],[!Type]]=S$1, S$1,"rg:None")</f>
        <v>rg:None</v>
      </c>
      <c r="T253" s="4">
        <f>IF(LEN(Table2[[#This Row],[!Length]]) &gt; 0, Table2[[#This Row],[!Length]], "rg:None")</f>
        <v>80</v>
      </c>
      <c r="U253" s="4" t="str">
        <f>IF(LEN(Table2[[#This Row],[!Name]]) &gt; 0, Table2[[#This Row],[!Name]], "rg:None")</f>
        <v>address1</v>
      </c>
      <c r="V253" s="4" t="str">
        <f>IF(LEN(Table2[[#This Row],[!Description]]) &gt; 0, Table2[[#This Row],[!Description]], "rg:None")</f>
        <v>Address 1 line of the address.</v>
      </c>
      <c r="W253" s="4" t="str">
        <f>IF(LEN(Table2[[#This Row],[!FK]])&gt;0,Table2[[#This Row],[!FK]],"rg:None")</f>
        <v>rg:None</v>
      </c>
      <c r="X253" s="14" t="str">
        <f>IF(LEN(concatif2(A:A,Table2[[#This Row],[!Table]],G:G,"Y",D:D,",")) &gt; 0,"rg:[ { 'req' : '"&amp;concatif2(A:A,Table2[[#This Row],[!Table]],G:G,"Y",D:D,"' }, { 'req': '")&amp;"'} ]","rg:[]")</f>
        <v>rg:[ { 'req' : 'id'} ]</v>
      </c>
      <c r="Y253" s="4" t="str">
        <f>IF(LEN(Table2[[#This Row],[!Unique]])&gt;0,IF(Table2[[#This Row],[!Type]] = "id", "rg:None","rg:True"),"rg:None")</f>
        <v>rg:None</v>
      </c>
    </row>
    <row r="254" spans="1:25" x14ac:dyDescent="0.3">
      <c r="A254" s="117" t="s">
        <v>172</v>
      </c>
      <c r="B254" s="3" t="s">
        <v>7</v>
      </c>
      <c r="C254" s="3">
        <v>80</v>
      </c>
      <c r="D254" s="117" t="s">
        <v>522</v>
      </c>
      <c r="E254" s="118" t="s">
        <v>166</v>
      </c>
      <c r="F254" s="3" t="s">
        <v>5</v>
      </c>
      <c r="G254" s="4"/>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80</v>
      </c>
      <c r="U254" s="4" t="str">
        <f>IF(LEN(Table2[[#This Row],[!Name]]) &gt; 0, Table2[[#This Row],[!Name]], "rg:None")</f>
        <v>address2</v>
      </c>
      <c r="V254" s="4" t="str">
        <f>IF(LEN(Table2[[#This Row],[!Description]]) &gt; 0, Table2[[#This Row],[!Description]], "rg:None")</f>
        <v>Address 2 line of the address.</v>
      </c>
      <c r="W254" s="4" t="str">
        <f>IF(LEN(Table2[[#This Row],[!FK]])&gt;0,Table2[[#This Row],[!FK]],"rg:None")</f>
        <v>rg:None</v>
      </c>
      <c r="X254" s="14" t="str">
        <f>IF(LEN(concatif2(A:A,Table2[[#This Row],[!Table]],G:G,"Y",D:D,",")) &gt; 0,"rg:[ { 'req' : '"&amp;concatif2(A:A,Table2[[#This Row],[!Table]],G:G,"Y",D:D,"' }, { 'req': '")&amp;"'} ]","rg:[]")</f>
        <v>rg:[ { 'req' : 'id'} ]</v>
      </c>
      <c r="Y254" s="4" t="str">
        <f>IF(LEN(Table2[[#This Row],[!Unique]])&gt;0,IF(Table2[[#This Row],[!Type]] = "id", "rg:None","rg:True"),"rg:None")</f>
        <v>rg:None</v>
      </c>
    </row>
    <row r="255" spans="1:25" x14ac:dyDescent="0.3">
      <c r="A255" s="117" t="s">
        <v>172</v>
      </c>
      <c r="B255" s="3" t="s">
        <v>7</v>
      </c>
      <c r="C255" s="3">
        <v>100</v>
      </c>
      <c r="D255" s="117" t="s">
        <v>21</v>
      </c>
      <c r="E255" s="118" t="s">
        <v>167</v>
      </c>
      <c r="F255" s="3" t="s">
        <v>5</v>
      </c>
      <c r="G255" s="4"/>
      <c r="H255" s="4"/>
      <c r="I255" s="5" t="str">
        <f t="shared" si="2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100</v>
      </c>
      <c r="U255" s="4" t="str">
        <f>IF(LEN(Table2[[#This Row],[!Name]]) &gt; 0, Table2[[#This Row],[!Name]], "rg:None")</f>
        <v>city</v>
      </c>
      <c r="V255" s="4" t="str">
        <f>IF(LEN(Table2[[#This Row],[!Description]]) &gt; 0, Table2[[#This Row],[!Description]], "rg:None")</f>
        <v>The City of the address.</v>
      </c>
      <c r="W255" s="4" t="str">
        <f>IF(LEN(Table2[[#This Row],[!FK]])&gt;0,Table2[[#This Row],[!FK]],"rg:None")</f>
        <v>rg:None</v>
      </c>
      <c r="X255" s="14" t="str">
        <f>IF(LEN(concatif2(A:A,Table2[[#This Row],[!Table]],G:G,"Y",D:D,",")) &gt; 0,"rg:[ { 'req' : '"&amp;concatif2(A:A,Table2[[#This Row],[!Table]],G:G,"Y",D:D,"' }, { 'req': '")&amp;"'} ]","rg:[]")</f>
        <v>rg:[ { 'req' : 'id'} ]</v>
      </c>
      <c r="Y255" s="4" t="str">
        <f>IF(LEN(Table2[[#This Row],[!Unique]])&gt;0,IF(Table2[[#This Row],[!Type]] = "id", "rg:None","rg:True"),"rg:None")</f>
        <v>rg:None</v>
      </c>
    </row>
    <row r="256" spans="1:25" x14ac:dyDescent="0.3">
      <c r="A256" s="117" t="s">
        <v>172</v>
      </c>
      <c r="B256" s="3" t="s">
        <v>7</v>
      </c>
      <c r="C256" s="3">
        <v>50</v>
      </c>
      <c r="D256" s="117" t="s">
        <v>168</v>
      </c>
      <c r="E256" s="118" t="s">
        <v>169</v>
      </c>
      <c r="F256" s="3"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50</v>
      </c>
      <c r="U256" s="4" t="str">
        <f>IF(LEN(Table2[[#This Row],[!Name]]) &gt; 0, Table2[[#This Row],[!Name]], "rg:None")</f>
        <v>province</v>
      </c>
      <c r="V256" s="4" t="str">
        <f>IF(LEN(Table2[[#This Row],[!Description]]) &gt; 0, Table2[[#This Row],[!Description]], "rg:None")</f>
        <v>The Province of the address.</v>
      </c>
      <c r="W256" s="4" t="str">
        <f>IF(LEN(Table2[[#This Row],[!FK]])&gt;0,Table2[[#This Row],[!FK]],"rg:None")</f>
        <v>rg:None</v>
      </c>
      <c r="X256" s="14" t="str">
        <f>IF(LEN(concatif2(A:A,Table2[[#This Row],[!Table]],G:G,"Y",D:D,",")) &gt; 0,"rg:[ { 'req' : '"&amp;concatif2(A:A,Table2[[#This Row],[!Table]],G:G,"Y",D:D,"' }, { 'req': '")&amp;"'} ]","rg:[]")</f>
        <v>rg:[ { 'req' : 'id'} ]</v>
      </c>
      <c r="Y256" s="4" t="str">
        <f>IF(LEN(Table2[[#This Row],[!Unique]])&gt;0,IF(Table2[[#This Row],[!Type]] = "id", "rg:None","rg:True"),"rg:None")</f>
        <v>rg:None</v>
      </c>
    </row>
    <row r="257" spans="1:25" x14ac:dyDescent="0.3">
      <c r="A257" s="117" t="s">
        <v>172</v>
      </c>
      <c r="B257" s="3" t="s">
        <v>7</v>
      </c>
      <c r="C257" s="3">
        <v>15</v>
      </c>
      <c r="D257" s="117" t="s">
        <v>170</v>
      </c>
      <c r="E257" s="118" t="s">
        <v>171</v>
      </c>
      <c r="F257" s="3" t="s">
        <v>5</v>
      </c>
      <c r="G257" s="4"/>
      <c r="H257" s="4"/>
      <c r="I257" s="5" t="str">
        <f t="shared" si="2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string</v>
      </c>
      <c r="S257" s="4" t="str">
        <f>IF(Table2[[#This Row],[!Type]]=S$1, S$1,"rg:None")</f>
        <v>rg:None</v>
      </c>
      <c r="T257" s="4">
        <f>IF(LEN(Table2[[#This Row],[!Length]]) &gt; 0, Table2[[#This Row],[!Length]], "rg:None")</f>
        <v>15</v>
      </c>
      <c r="U257" s="4" t="str">
        <f>IF(LEN(Table2[[#This Row],[!Name]]) &gt; 0, Table2[[#This Row],[!Name]], "rg:None")</f>
        <v>postalCode</v>
      </c>
      <c r="V257" s="4" t="str">
        <f>IF(LEN(Table2[[#This Row],[!Description]]) &gt; 0, Table2[[#This Row],[!Description]], "rg:None")</f>
        <v>The postal code of the address.</v>
      </c>
      <c r="W257" s="4" t="str">
        <f>IF(LEN(Table2[[#This Row],[!FK]])&gt;0,Table2[[#This Row],[!FK]],"rg:None")</f>
        <v>rg:None</v>
      </c>
      <c r="X257" s="14" t="str">
        <f>IF(LEN(concatif2(A:A,Table2[[#This Row],[!Table]],G:G,"Y",D:D,",")) &gt; 0,"rg:[ { 'req' : '"&amp;concatif2(A:A,Table2[[#This Row],[!Table]],G:G,"Y",D:D,"' }, { 'req': '")&amp;"'} ]","rg:[]")</f>
        <v>rg:[ { 'req' : 'id'} ]</v>
      </c>
      <c r="Y257" s="4" t="str">
        <f>IF(LEN(Table2[[#This Row],[!Unique]])&gt;0,IF(Table2[[#This Row],[!Type]] = "id", "rg:None","rg:True"),"rg:None")</f>
        <v>rg:None</v>
      </c>
    </row>
    <row r="258" spans="1:25" ht="28.8" x14ac:dyDescent="0.3">
      <c r="A258" s="81" t="s">
        <v>146</v>
      </c>
      <c r="B258" s="5" t="s">
        <v>4</v>
      </c>
      <c r="D258" s="5" t="s">
        <v>146</v>
      </c>
      <c r="E258" s="76" t="s">
        <v>367</v>
      </c>
      <c r="F258" s="5" t="s">
        <v>5</v>
      </c>
      <c r="G258" s="4"/>
      <c r="H258" s="4"/>
      <c r="I258" s="5" t="str">
        <f t="shared" ref="I258:I271" si="28">IF(LEN(A258) &gt; 0,"Defs","-")</f>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table</v>
      </c>
      <c r="T258" s="4" t="str">
        <f>IF(LEN(Table2[[#This Row],[!Length]]) &gt; 0, Table2[[#This Row],[!Length]], "rg:None")</f>
        <v>rg:None</v>
      </c>
      <c r="U258" s="4" t="str">
        <f>IF(LEN(Table2[[#This Row],[!Name]]) &gt; 0, Table2[[#This Row],[!Name]], "rg:None")</f>
        <v>Note</v>
      </c>
      <c r="V258" s="4" t="str">
        <f>IF(LEN(Table2[[#This Row],[!Description]]) &gt; 0, Table2[[#This Row],[!Description]], "rg:None")</f>
        <v>Text entered about an entity in the application - e.g. piece of Equipment, an Owner, a Project and so on.</v>
      </c>
      <c r="W258" s="4" t="str">
        <f>IF(LEN(Table2[[#This Row],[!FK]])&gt;0,Table2[[#This Row],[!FK]],"rg:None")</f>
        <v>rg:None</v>
      </c>
      <c r="X258" s="14" t="str">
        <f>IF(LEN(concatif2(A:A,Table2[[#This Row],[!Table]],G:G,"Y",D:D,",")) &gt; 0,"rg:[ { 'req' : '"&amp;concatif2(A:A,Table2[[#This Row],[!Table]],G:G,"Y",D:D,"' }, { 'req': '")&amp;"'} ]","rg:[]")</f>
        <v>rg:[ { 'req' : 'id' }, { 'req': 'text'} ]</v>
      </c>
      <c r="Y258" s="4" t="str">
        <f>IF(LEN(Table2[[#This Row],[!Unique]])&gt;0,IF(Table2[[#This Row],[!Type]] = "id", "rg:None","rg:True"),"rg:None")</f>
        <v>rg:None</v>
      </c>
    </row>
    <row r="259" spans="1:25" x14ac:dyDescent="0.3">
      <c r="A259" s="81" t="s">
        <v>146</v>
      </c>
      <c r="B259" s="5" t="s">
        <v>6</v>
      </c>
      <c r="D259" s="5" t="s">
        <v>6</v>
      </c>
      <c r="E259" s="54" t="s">
        <v>312</v>
      </c>
      <c r="F259" s="5" t="s">
        <v>5</v>
      </c>
      <c r="G259" s="4" t="s">
        <v>62</v>
      </c>
      <c r="H259" s="158" t="s">
        <v>62</v>
      </c>
      <c r="I259" s="5" t="str">
        <f t="shared" si="28"/>
        <v>Defs</v>
      </c>
      <c r="J259" s="4" t="str">
        <f>IF(Table2[[#This Row],[!Type]]=J$1, J$1,"rg:None")</f>
        <v>rg:None</v>
      </c>
      <c r="K259" s="4" t="str">
        <f>IF(Table2[[#This Row],[!Type]]=K$1, K$1,"rg:None")</f>
        <v>rg:None</v>
      </c>
      <c r="L259" s="4" t="str">
        <f>IF(Table2[[#This Row],[!Type]]=L$1, L$1,"rg:None")</f>
        <v>rg:None</v>
      </c>
      <c r="M259" s="4" t="str">
        <f>IF(Table2[[#This Row],[!Type]]=M$1, M$1,"rg:None")</f>
        <v>id</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rg:None</v>
      </c>
      <c r="S259" s="4" t="str">
        <f>IF(Table2[[#This Row],[!Type]]=S$1, S$1,"rg:None")</f>
        <v>rg:None</v>
      </c>
      <c r="T259" s="4" t="str">
        <f>IF(LEN(Table2[[#This Row],[!Length]]) &gt; 0, Table2[[#This Row],[!Length]], "rg:None")</f>
        <v>rg:None</v>
      </c>
      <c r="U259" s="4" t="str">
        <f>IF(LEN(Table2[[#This Row],[!Name]]) &gt; 0, Table2[[#This Row],[!Name]], "rg:None")</f>
        <v>id</v>
      </c>
      <c r="V259" s="4" t="str">
        <f>IF(LEN(Table2[[#This Row],[!Description]]) &gt; 0, Table2[[#This Row],[!Description]], "rg:None")</f>
        <v>A system-generated unique identifier for a Note</v>
      </c>
      <c r="W259" s="4" t="str">
        <f>IF(LEN(Table2[[#This Row],[!FK]])&gt;0,Table2[[#This Row],[!FK]],"rg:None")</f>
        <v>rg:None</v>
      </c>
      <c r="X259" s="14" t="str">
        <f>IF(LEN(concatif2(A:A,Table2[[#This Row],[!Table]],G:G,"Y",D:D,",")) &gt; 0,"rg:[ { 'req' : '"&amp;concatif2(A:A,Table2[[#This Row],[!Table]],G:G,"Y",D:D,"' }, { 'req': '")&amp;"'} ]","rg:[]")</f>
        <v>rg:[ { 'req' : 'id' }, { 'req': 'text'} ]</v>
      </c>
      <c r="Y259" s="4" t="str">
        <f>IF(LEN(Table2[[#This Row],[!Unique]])&gt;0,IF(Table2[[#This Row],[!Type]] = "id", "rg:None","rg:True"),"rg:None")</f>
        <v>rg:None</v>
      </c>
    </row>
    <row r="260" spans="1:25" x14ac:dyDescent="0.3">
      <c r="A260" s="81" t="s">
        <v>146</v>
      </c>
      <c r="B260" s="5" t="s">
        <v>7</v>
      </c>
      <c r="C260" s="5">
        <v>2048</v>
      </c>
      <c r="D260" s="102" t="s">
        <v>347</v>
      </c>
      <c r="E260" s="101" t="s">
        <v>311</v>
      </c>
      <c r="F260" s="5" t="s">
        <v>5</v>
      </c>
      <c r="G260" s="41" t="s">
        <v>62</v>
      </c>
      <c r="H260" s="4"/>
      <c r="I260" s="5" t="str">
        <f t="shared" si="28"/>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2048</v>
      </c>
      <c r="U260" s="4" t="str">
        <f>IF(LEN(Table2[[#This Row],[!Name]]) &gt; 0, Table2[[#This Row],[!Name]], "rg:None")</f>
        <v>text</v>
      </c>
      <c r="V260" s="4" t="str">
        <f>IF(LEN(Table2[[#This Row],[!Description]]) &gt; 0, Table2[[#This Row],[!Description]], "rg:None")</f>
        <v>Notes entered by users about instance of entities - e.g. School Buses and School Bus Owners</v>
      </c>
      <c r="W260" s="4" t="str">
        <f>IF(LEN(Table2[[#This Row],[!FK]])&gt;0,Table2[[#This Row],[!FK]],"rg:None")</f>
        <v>rg:None</v>
      </c>
      <c r="X260" s="14" t="str">
        <f>IF(LEN(concatif2(A:A,Table2[[#This Row],[!Table]],G:G,"Y",D:D,",")) &gt; 0,"rg:[ { 'req' : '"&amp;concatif2(A:A,Table2[[#This Row],[!Table]],G:G,"Y",D:D,"' }, { 'req': '")&amp;"'} ]","rg:[]")</f>
        <v>rg:[ { 'req' : 'id' }, { 'req': 'text'} ]</v>
      </c>
      <c r="Y260" s="4" t="str">
        <f>IF(LEN(Table2[[#This Row],[!Unique]])&gt;0,IF(Table2[[#This Row],[!Type]] = "id", "rg:None","rg:True"),"rg:None")</f>
        <v>rg:None</v>
      </c>
    </row>
    <row r="261" spans="1:25" ht="28.8" x14ac:dyDescent="0.3">
      <c r="A261" s="81" t="s">
        <v>146</v>
      </c>
      <c r="B261" s="5" t="s">
        <v>9</v>
      </c>
      <c r="D261" s="5" t="s">
        <v>156</v>
      </c>
      <c r="E261" s="104" t="s">
        <v>313</v>
      </c>
      <c r="F261" s="5" t="s">
        <v>5</v>
      </c>
      <c r="G261" s="4"/>
      <c r="H261" s="4"/>
      <c r="I261" s="5" t="str">
        <f t="shared" si="28"/>
        <v>Defs</v>
      </c>
      <c r="J261" s="4" t="str">
        <f>IF(Table2[[#This Row],[!Type]]=J$1, J$1,"rg:None")</f>
        <v>boolean</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rg:None</v>
      </c>
      <c r="T261" s="4" t="str">
        <f>IF(LEN(Table2[[#This Row],[!Length]]) &gt; 0, Table2[[#This Row],[!Length]], "rg:None")</f>
        <v>rg:None</v>
      </c>
      <c r="U261" s="4" t="str">
        <f>IF(LEN(Table2[[#This Row],[!Name]]) &gt; 0, Table2[[#This Row],[!Name]], "rg:None")</f>
        <v>isNoLongerRelevant</v>
      </c>
      <c r="V261" s="4" t="str">
        <f>IF(LEN(Table2[[#This Row],[!Description]]) &gt; 0, Table2[[#This Row],[!Description]], "rg:None")</f>
        <v>A user set flag that the note is no longer relevant. Allows the note to be retained for historical reasons,  but identified to other users as no longer applicable.</v>
      </c>
      <c r="W261" s="4" t="str">
        <f>IF(LEN(Table2[[#This Row],[!FK]])&gt;0,Table2[[#This Row],[!FK]],"rg:None")</f>
        <v>rg:None</v>
      </c>
      <c r="X261" s="14" t="str">
        <f>IF(LEN(concatif2(A:A,Table2[[#This Row],[!Table]],G:G,"Y",D:D,",")) &gt; 0,"rg:[ { 'req' : '"&amp;concatif2(A:A,Table2[[#This Row],[!Table]],G:G,"Y",D:D,"' }, { 'req': '")&amp;"'} ]","rg:[]")</f>
        <v>rg:[ { 'req' : 'id' }, { 'req': 'text'} ]</v>
      </c>
      <c r="Y261" s="4" t="str">
        <f>IF(LEN(Table2[[#This Row],[!Unique]])&gt;0,IF(Table2[[#This Row],[!Type]] = "id", "rg:None","rg:True"),"rg:None")</f>
        <v>rg:None</v>
      </c>
    </row>
    <row r="262" spans="1:25" ht="28.8" x14ac:dyDescent="0.3">
      <c r="A262" s="81" t="s">
        <v>158</v>
      </c>
      <c r="B262" s="5" t="s">
        <v>4</v>
      </c>
      <c r="D262" s="81" t="s">
        <v>158</v>
      </c>
      <c r="E262" s="76" t="s">
        <v>368</v>
      </c>
      <c r="F262" s="5" t="s">
        <v>5</v>
      </c>
      <c r="G262" s="4"/>
      <c r="H262" s="4"/>
      <c r="I262" s="5" t="str">
        <f t="shared" si="28"/>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table</v>
      </c>
      <c r="T262" s="4" t="str">
        <f>IF(LEN(Table2[[#This Row],[!Length]]) &gt; 0, Table2[[#This Row],[!Length]], "rg:None")</f>
        <v>rg:None</v>
      </c>
      <c r="U262" s="4" t="str">
        <f>IF(LEN(Table2[[#This Row],[!Name]]) &gt; 0, Table2[[#This Row],[!Name]], "rg:None")</f>
        <v>Attachment</v>
      </c>
      <c r="V262" s="4" t="str">
        <f>IF(LEN(Table2[[#This Row],[!Description]]) &gt; 0, Table2[[#This Row],[!Description]], "rg:None")</f>
        <v>Uploaded documents related to entity in the application - e.g. piece of Equipment, an Owner, a Project and so on.</v>
      </c>
      <c r="W262" s="4" t="str">
        <f>IF(LEN(Table2[[#This Row],[!FK]])&gt;0,Table2[[#This Row],[!FK]],"rg:None")</f>
        <v>rg:None</v>
      </c>
      <c r="X262" s="14" t="str">
        <f>IF(LEN(concatif2(A:A,Table2[[#This Row],[!Table]],G:G,"Y",D:D,",")) &gt; 0,"rg:[ { 'req' : '"&amp;concatif2(A:A,Table2[[#This Row],[!Table]],G:G,"Y",D:D,"' }, { 'req': '")&amp;"'} ]","rg:[]")</f>
        <v>rg:[ { 'req' : 'id' }, { 'req': 'fileName' }, { 'req': 'fileContents'} ]</v>
      </c>
      <c r="Y262" s="4" t="str">
        <f>IF(LEN(Table2[[#This Row],[!Unique]])&gt;0,IF(Table2[[#This Row],[!Type]] = "id", "rg:None","rg:True"),"rg:None")</f>
        <v>rg:None</v>
      </c>
    </row>
    <row r="263" spans="1:25" x14ac:dyDescent="0.3">
      <c r="A263" s="81" t="s">
        <v>158</v>
      </c>
      <c r="B263" s="5" t="s">
        <v>6</v>
      </c>
      <c r="D263" s="5" t="s">
        <v>6</v>
      </c>
      <c r="E263" s="54" t="s">
        <v>314</v>
      </c>
      <c r="F263" s="5" t="s">
        <v>5</v>
      </c>
      <c r="G263" s="4" t="s">
        <v>62</v>
      </c>
      <c r="H263" s="41" t="s">
        <v>62</v>
      </c>
      <c r="I263" s="5" t="str">
        <f t="shared" si="28"/>
        <v>Defs</v>
      </c>
      <c r="J263" s="4" t="str">
        <f>IF(Table2[[#This Row],[!Type]]=J$1, J$1,"rg:None")</f>
        <v>rg:None</v>
      </c>
      <c r="K263" s="4" t="str">
        <f>IF(Table2[[#This Row],[!Type]]=K$1, K$1,"rg:None")</f>
        <v>rg:None</v>
      </c>
      <c r="L263" s="4" t="str">
        <f>IF(Table2[[#This Row],[!Type]]=L$1, L$1,"rg:None")</f>
        <v>rg:None</v>
      </c>
      <c r="M263" s="4" t="str">
        <f>IF(Table2[[#This Row],[!Type]]=M$1, M$1,"rg:None")</f>
        <v>id</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4" t="str">
        <f>IF(LEN(Table2[[#This Row],[!Length]]) &gt; 0, Table2[[#This Row],[!Length]], "rg:None")</f>
        <v>rg:None</v>
      </c>
      <c r="U263" s="4" t="str">
        <f>IF(LEN(Table2[[#This Row],[!Name]]) &gt; 0, Table2[[#This Row],[!Name]], "rg:None")</f>
        <v>id</v>
      </c>
      <c r="V263" s="4" t="str">
        <f>IF(LEN(Table2[[#This Row],[!Description]]) &gt; 0, Table2[[#This Row],[!Description]], "rg:None")</f>
        <v>A system-generated unique identifier for an Attachment</v>
      </c>
      <c r="W263" s="4" t="str">
        <f>IF(LEN(Table2[[#This Row],[!FK]])&gt;0,Table2[[#This Row],[!FK]],"rg:None")</f>
        <v>rg:None</v>
      </c>
      <c r="X263" s="14" t="str">
        <f>IF(LEN(concatif2(A:A,Table2[[#This Row],[!Table]],G:G,"Y",D:D,",")) &gt; 0,"rg:[ { 'req' : '"&amp;concatif2(A:A,Table2[[#This Row],[!Table]],G:G,"Y",D:D,"' }, { 'req': '")&amp;"'} ]","rg:[]")</f>
        <v>rg:[ { 'req' : 'id' }, { 'req': 'fileName' }, { 'req': 'fileContents'} ]</v>
      </c>
      <c r="Y263" s="4" t="str">
        <f>IF(LEN(Table2[[#This Row],[!Unique]])&gt;0,IF(Table2[[#This Row],[!Type]] = "id", "rg:None","rg:True"),"rg:None")</f>
        <v>rg:None</v>
      </c>
    </row>
    <row r="264" spans="1:25" x14ac:dyDescent="0.3">
      <c r="A264" s="81" t="s">
        <v>158</v>
      </c>
      <c r="B264" s="5" t="s">
        <v>7</v>
      </c>
      <c r="C264" s="5">
        <v>2048</v>
      </c>
      <c r="D264" s="5" t="s">
        <v>523</v>
      </c>
      <c r="E264" s="54" t="s">
        <v>524</v>
      </c>
      <c r="F264" s="5" t="s">
        <v>5</v>
      </c>
      <c r="G264" s="158" t="s">
        <v>62</v>
      </c>
      <c r="H264" s="41"/>
      <c r="I264" s="5" t="str">
        <f t="shared" si="28"/>
        <v>Defs</v>
      </c>
      <c r="J264" s="4" t="str">
        <f>IF(Table2[[#This Row],[!Type]]=J$1, J$1,"rg:None")</f>
        <v>rg:None</v>
      </c>
      <c r="K264" s="4" t="str">
        <f>IF(Table2[[#This Row],[!Type]]=K$1, K$1,"rg:None")</f>
        <v>rg:None</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string</v>
      </c>
      <c r="S264" s="4" t="str">
        <f>IF(Table2[[#This Row],[!Type]]=S$1, S$1,"rg:None")</f>
        <v>rg:None</v>
      </c>
      <c r="T264" s="4">
        <f>IF(LEN(Table2[[#This Row],[!Length]]) &gt; 0, Table2[[#This Row],[!Length]], "rg:None")</f>
        <v>2048</v>
      </c>
      <c r="U264" s="4" t="str">
        <f>IF(LEN(Table2[[#This Row],[!Name]]) &gt; 0, Table2[[#This Row],[!Name]], "rg:None")</f>
        <v>fileName</v>
      </c>
      <c r="V264" s="4" t="str">
        <f>IF(LEN(Table2[[#This Row],[!Description]]) &gt; 0, Table2[[#This Row],[!Description]], "rg:None")</f>
        <v>Filename as passed by the user uploading the file</v>
      </c>
      <c r="W264" s="4" t="str">
        <f>IF(LEN(Table2[[#This Row],[!FK]])&gt;0,Table2[[#This Row],[!FK]],"rg:None")</f>
        <v>rg:None</v>
      </c>
      <c r="X264" s="14" t="str">
        <f>IF(LEN(concatif2(A:A,Table2[[#This Row],[!Table]],G:G,"Y",D:D,",")) &gt; 0,"rg:[ { 'req' : '"&amp;concatif2(A:A,Table2[[#This Row],[!Table]],G:G,"Y",D:D,"' }, { 'req': '")&amp;"'} ]","rg:[]")</f>
        <v>rg:[ { 'req' : 'id' }, { 'req': 'fileName' }, { 'req': 'fileContents'} ]</v>
      </c>
      <c r="Y264" s="4" t="str">
        <f>IF(LEN(Table2[[#This Row],[!Unique]])&gt;0,IF(Table2[[#This Row],[!Type]] = "id", "rg:None","rg:True"),"rg:None")</f>
        <v>rg:None</v>
      </c>
    </row>
    <row r="265" spans="1:25" x14ac:dyDescent="0.3">
      <c r="A265" s="81" t="s">
        <v>158</v>
      </c>
      <c r="B265" s="5" t="s">
        <v>159</v>
      </c>
      <c r="D265" s="5" t="s">
        <v>525</v>
      </c>
      <c r="E265" s="105" t="s">
        <v>526</v>
      </c>
      <c r="F265" s="5" t="s">
        <v>5</v>
      </c>
      <c r="G265" s="158" t="s">
        <v>62</v>
      </c>
      <c r="H265" s="41"/>
      <c r="I265" s="5" t="str">
        <f t="shared" si="28"/>
        <v>Defs</v>
      </c>
      <c r="J265" s="4" t="str">
        <f>IF(Table2[[#This Row],[!Type]]=J$1, J$1,"rg:None")</f>
        <v>rg:None</v>
      </c>
      <c r="K265" s="4" t="str">
        <f>IF(Table2[[#This Row],[!Type]]=K$1, K$1,"rg:None")</f>
        <v>binary</v>
      </c>
      <c r="L265" s="4" t="str">
        <f>IF(Table2[[#This Row],[!Type]]=L$1, L$1,"rg:None")</f>
        <v>rg:None</v>
      </c>
      <c r="M265" s="4" t="str">
        <f>IF(Table2[[#This Row],[!Type]]=M$1, M$1,"rg:None")</f>
        <v>rg:None</v>
      </c>
      <c r="N265" s="4" t="str">
        <f>IF(Table2[[#This Row],[!Type]]=N$1, N$1,"rg:None")</f>
        <v>rg:None</v>
      </c>
      <c r="O265" s="4" t="str">
        <f>IF(Table2[[#This Row],[!Type]]=O$1, O$1,"rg:None")</f>
        <v>rg:None</v>
      </c>
      <c r="P265" s="4" t="str">
        <f>IF(Table2[[#This Row],[!Type]]=P$1, P$1,"rg:None")</f>
        <v>rg:None</v>
      </c>
      <c r="Q265" s="4" t="str">
        <f>IF(Table2[[#This Row],[!Type]]=Q$1, Q$1,"rg:None")</f>
        <v>rg:None</v>
      </c>
      <c r="R265" s="4" t="str">
        <f>IF(Table2[[#This Row],[!Type]]=R$1, R$1,"rg:None")</f>
        <v>rg:None</v>
      </c>
      <c r="S265" s="4" t="str">
        <f>IF(Table2[[#This Row],[!Type]]=S$1, S$1,"rg:None")</f>
        <v>rg:None</v>
      </c>
      <c r="T265" s="4" t="str">
        <f>IF(LEN(Table2[[#This Row],[!Length]]) &gt; 0, Table2[[#This Row],[!Length]], "rg:None")</f>
        <v>rg:None</v>
      </c>
      <c r="U265" s="4" t="str">
        <f>IF(LEN(Table2[[#This Row],[!Name]]) &gt; 0, Table2[[#This Row],[!Name]], "rg:None")</f>
        <v>fileContents</v>
      </c>
      <c r="V265" s="4" t="str">
        <f>IF(LEN(Table2[[#This Row],[!Description]]) &gt; 0, Table2[[#This Row],[!Description]], "rg:None")</f>
        <v>Binary contents of the file</v>
      </c>
      <c r="W265" s="4" t="str">
        <f>IF(LEN(Table2[[#This Row],[!FK]])&gt;0,Table2[[#This Row],[!FK]],"rg:None")</f>
        <v>rg:None</v>
      </c>
      <c r="X265" s="14" t="str">
        <f>IF(LEN(concatif2(A:A,Table2[[#This Row],[!Table]],G:G,"Y",D:D,",")) &gt; 0,"rg:[ { 'req' : '"&amp;concatif2(A:A,Table2[[#This Row],[!Table]],G:G,"Y",D:D,"' }, { 'req': '")&amp;"'} ]","rg:[]")</f>
        <v>rg:[ { 'req' : 'id' }, { 'req': 'fileName' }, { 'req': 'fileContents'} ]</v>
      </c>
      <c r="Y265" s="4" t="str">
        <f>IF(LEN(Table2[[#This Row],[!Unique]])&gt;0,IF(Table2[[#This Row],[!Type]] = "id", "rg:None","rg:True"),"rg:None")</f>
        <v>rg:None</v>
      </c>
    </row>
    <row r="266" spans="1:25" x14ac:dyDescent="0.3">
      <c r="A266" s="81" t="s">
        <v>158</v>
      </c>
      <c r="B266" s="5" t="s">
        <v>7</v>
      </c>
      <c r="C266" s="5">
        <v>2048</v>
      </c>
      <c r="D266" s="5" t="s">
        <v>14</v>
      </c>
      <c r="E266" s="105" t="s">
        <v>157</v>
      </c>
      <c r="F266" s="5" t="s">
        <v>5</v>
      </c>
      <c r="G266" s="4"/>
      <c r="H266" s="4"/>
      <c r="I266" s="5" t="str">
        <f t="shared" si="28"/>
        <v>Defs</v>
      </c>
      <c r="J266" s="4" t="str">
        <f>IF(Table2[[#This Row],[!Type]]=J$1, J$1,"rg:None")</f>
        <v>rg:None</v>
      </c>
      <c r="K266" s="4" t="str">
        <f>IF(Table2[[#This Row],[!Type]]=K$1, K$1,"rg:None")</f>
        <v>rg:None</v>
      </c>
      <c r="L266" s="4" t="str">
        <f>IF(Table2[[#This Row],[!Type]]=L$1, L$1,"rg:None")</f>
        <v>rg:None</v>
      </c>
      <c r="M266" s="4" t="str">
        <f>IF(Table2[[#This Row],[!Type]]=M$1, M$1,"rg:None")</f>
        <v>rg:None</v>
      </c>
      <c r="N266" s="4" t="str">
        <f>IF(Table2[[#This Row],[!Type]]=N$1, N$1,"rg:None")</f>
        <v>rg:None</v>
      </c>
      <c r="O266" s="4" t="str">
        <f>IF(Table2[[#This Row],[!Type]]=O$1, O$1,"rg:None")</f>
        <v>rg:None</v>
      </c>
      <c r="P266" s="4" t="str">
        <f>IF(Table2[[#This Row],[!Type]]=P$1, P$1,"rg:None")</f>
        <v>rg:None</v>
      </c>
      <c r="Q266" s="4" t="str">
        <f>IF(Table2[[#This Row],[!Type]]=Q$1, Q$1,"rg:None")</f>
        <v>rg:None</v>
      </c>
      <c r="R266" s="4" t="str">
        <f>IF(Table2[[#This Row],[!Type]]=R$1, R$1,"rg:None")</f>
        <v>string</v>
      </c>
      <c r="S266" s="4" t="str">
        <f>IF(Table2[[#This Row],[!Type]]=S$1, S$1,"rg:None")</f>
        <v>rg:None</v>
      </c>
      <c r="T266" s="4">
        <f>IF(LEN(Table2[[#This Row],[!Length]]) &gt; 0, Table2[[#This Row],[!Length]], "rg:None")</f>
        <v>2048</v>
      </c>
      <c r="U266" s="4" t="str">
        <f>IF(LEN(Table2[[#This Row],[!Name]]) &gt; 0, Table2[[#This Row],[!Name]], "rg:None")</f>
        <v>description</v>
      </c>
      <c r="V266" s="4" t="str">
        <f>IF(LEN(Table2[[#This Row],[!Description]]) &gt; 0, Table2[[#This Row],[!Description]], "rg:None")</f>
        <v>A note about the attachment,  optionally maintained by the user.</v>
      </c>
      <c r="W266" s="4" t="str">
        <f>IF(LEN(Table2[[#This Row],[!FK]])&gt;0,Table2[[#This Row],[!FK]],"rg:None")</f>
        <v>rg:None</v>
      </c>
      <c r="X266" s="14" t="str">
        <f>IF(LEN(concatif2(A:A,Table2[[#This Row],[!Table]],G:G,"Y",D:D,",")) &gt; 0,"rg:[ { 'req' : '"&amp;concatif2(A:A,Table2[[#This Row],[!Table]],G:G,"Y",D:D,"' }, { 'req': '")&amp;"'} ]","rg:[]")</f>
        <v>rg:[ { 'req' : 'id' }, { 'req': 'fileName' }, { 'req': 'fileContents'} ]</v>
      </c>
      <c r="Y266" s="4" t="str">
        <f>IF(LEN(Table2[[#This Row],[!Unique]])&gt;0,IF(Table2[[#This Row],[!Type]] = "id", "rg:None","rg:True"),"rg:None")</f>
        <v>rg:None</v>
      </c>
    </row>
    <row r="267" spans="1:25" x14ac:dyDescent="0.3">
      <c r="A267" s="72" t="s">
        <v>158</v>
      </c>
      <c r="B267" s="168" t="s">
        <v>7</v>
      </c>
      <c r="C267" s="72">
        <v>255</v>
      </c>
      <c r="D267" s="168" t="s">
        <v>606</v>
      </c>
      <c r="E267" s="169" t="s">
        <v>607</v>
      </c>
      <c r="F267" s="12"/>
      <c r="G267" s="18"/>
      <c r="H267" s="18"/>
      <c r="I267" s="4" t="str">
        <f>IF(LEN(A267) &gt; 0,"Defs","-")</f>
        <v>Defs</v>
      </c>
      <c r="J267" s="4" t="str">
        <f>IF(Table2[[#This Row],[!Type]]=J$1, J$1,"rg:None")</f>
        <v>rg:None</v>
      </c>
      <c r="K267" s="4" t="str">
        <f>IF(Table2[[#This Row],[!Type]]=K$1, K$1,"rg:None")</f>
        <v>rg:None</v>
      </c>
      <c r="L267" s="4" t="str">
        <f>IF(Table2[[#This Row],[!Type]]=L$1, L$1,"rg:None")</f>
        <v>rg:None</v>
      </c>
      <c r="M267" s="4" t="str">
        <f>IF(Table2[[#This Row],[!Type]]=M$1, M$1,"rg:None")</f>
        <v>rg:None</v>
      </c>
      <c r="N267" s="4" t="str">
        <f>IF(Table2[[#This Row],[!Type]]=N$1, N$1,"rg:None")</f>
        <v>rg:None</v>
      </c>
      <c r="O267" s="4" t="str">
        <f>IF(Table2[[#This Row],[!Type]]=O$1, O$1,"rg:None")</f>
        <v>rg:None</v>
      </c>
      <c r="P267" s="4" t="str">
        <f>IF(Table2[[#This Row],[!Type]]=P$1, P$1,"rg:None")</f>
        <v>rg:None</v>
      </c>
      <c r="Q267" s="4" t="str">
        <f>IF(Table2[[#This Row],[!Type]]=Q$1, Q$1,"rg:None")</f>
        <v>rg:None</v>
      </c>
      <c r="R267" s="4" t="str">
        <f>IF(Table2[[#This Row],[!Type]]=R$1, R$1,"rg:None")</f>
        <v>string</v>
      </c>
      <c r="S267" s="4" t="str">
        <f>IF(Table2[[#This Row],[!Type]]=S$1, S$1,"rg:None")</f>
        <v>rg:None</v>
      </c>
      <c r="T267" s="4">
        <f>IF(LEN(Table2[[#This Row],[!Length]]) &gt; 0, Table2[[#This Row],[!Length]], "rg:None")</f>
        <v>255</v>
      </c>
      <c r="U267" s="4" t="str">
        <f>IF(LEN(Table2[[#This Row],[!Name]]) &gt; 0, Table2[[#This Row],[!Name]], "rg:None")</f>
        <v>mimeType</v>
      </c>
      <c r="V267" s="4" t="str">
        <f>IF(LEN(Table2[[#This Row],[!Description]]) &gt; 0, Table2[[#This Row],[!Description]], "rg:None")</f>
        <v>Mime-Type for attachment.</v>
      </c>
      <c r="W267" s="4" t="str">
        <f>IF(LEN(Table2[[#This Row],[!FK]])&gt;0,Table2[[#This Row],[!FK]],"rg:None")</f>
        <v>rg:None</v>
      </c>
      <c r="X267" s="14" t="str">
        <f>IF(LEN(concatif2(A:A,Table2[[#This Row],[!Table]],G:G,"Y",D:D,",")) &gt; 0,"rg:[ { 'req' : '"&amp;concatif2(A:A,Table2[[#This Row],[!Table]],G:G,"Y",D:D,"' }, { 'req': '")&amp;"'} ]","rg:[]")</f>
        <v>rg:[ { 'req' : 'id' }, { 'req': 'fileName' }, { 'req': 'fileContents'} ]</v>
      </c>
      <c r="Y267" s="4" t="str">
        <f>IF(LEN(Table2[[#This Row],[!Unique]])&gt;0,IF(Table2[[#This Row],[!Type]] = "id", "rg:None","rg:True"),"rg:None")</f>
        <v>rg:None</v>
      </c>
    </row>
    <row r="268" spans="1:25" x14ac:dyDescent="0.3">
      <c r="A268" s="72" t="s">
        <v>158</v>
      </c>
      <c r="B268" s="72" t="s">
        <v>7</v>
      </c>
      <c r="C268" s="72">
        <v>255</v>
      </c>
      <c r="D268" s="72" t="s">
        <v>20</v>
      </c>
      <c r="E268" s="47" t="s">
        <v>527</v>
      </c>
      <c r="F268" s="12"/>
      <c r="G268" s="18"/>
      <c r="H268" s="18"/>
      <c r="I268" s="4" t="str">
        <f>IF(LEN(A268) &gt; 0,"Defs","-")</f>
        <v>Defs</v>
      </c>
      <c r="J268" s="4" t="str">
        <f>IF(Table2[[#This Row],[!Type]]=J$1, J$1,"rg:None")</f>
        <v>rg:None</v>
      </c>
      <c r="K268" s="4" t="str">
        <f>IF(Table2[[#This Row],[!Type]]=K$1, K$1,"rg:None")</f>
        <v>rg:None</v>
      </c>
      <c r="L268" s="4" t="str">
        <f>IF(Table2[[#This Row],[!Type]]=L$1, L$1,"rg:None")</f>
        <v>rg:None</v>
      </c>
      <c r="M268" s="4" t="str">
        <f>IF(Table2[[#This Row],[!Type]]=M$1, M$1,"rg:None")</f>
        <v>rg:None</v>
      </c>
      <c r="N268" s="4" t="str">
        <f>IF(Table2[[#This Row],[!Type]]=N$1, N$1,"rg:None")</f>
        <v>rg:None</v>
      </c>
      <c r="O268" s="4" t="str">
        <f>IF(Table2[[#This Row],[!Type]]=O$1, O$1,"rg:None")</f>
        <v>rg:None</v>
      </c>
      <c r="P268" s="4" t="str">
        <f>IF(Table2[[#This Row],[!Type]]=P$1, P$1,"rg:None")</f>
        <v>rg:None</v>
      </c>
      <c r="Q268" s="4" t="str">
        <f>IF(Table2[[#This Row],[!Type]]=Q$1, Q$1,"rg:None")</f>
        <v>rg:None</v>
      </c>
      <c r="R268" s="4" t="str">
        <f>IF(Table2[[#This Row],[!Type]]=R$1, R$1,"rg:None")</f>
        <v>string</v>
      </c>
      <c r="S268" s="4" t="str">
        <f>IF(Table2[[#This Row],[!Type]]=S$1, S$1,"rg:None")</f>
        <v>rg:None</v>
      </c>
      <c r="T268" s="4">
        <f>IF(LEN(Table2[[#This Row],[!Length]]) &gt; 0, Table2[[#This Row],[!Length]], "rg:None")</f>
        <v>255</v>
      </c>
      <c r="U268" s="4" t="str">
        <f>IF(LEN(Table2[[#This Row],[!Name]]) &gt; 0, Table2[[#This Row],[!Name]], "rg:None")</f>
        <v>type</v>
      </c>
      <c r="V268" s="4" t="str">
        <f>IF(LEN(Table2[[#This Row],[!Description]]) &gt; 0, Table2[[#This Row],[!Description]], "rg:None")</f>
        <v>Type of attachment</v>
      </c>
      <c r="W268" s="4" t="str">
        <f>IF(LEN(Table2[[#This Row],[!FK]])&gt;0,Table2[[#This Row],[!FK]],"rg:None")</f>
        <v>rg:None</v>
      </c>
      <c r="X268" s="14" t="str">
        <f>IF(LEN(concatif2(A:A,Table2[[#This Row],[!Table]],G:G,"Y",D:D,",")) &gt; 0,"rg:[ { 'req' : '"&amp;concatif2(A:A,Table2[[#This Row],[!Table]],G:G,"Y",D:D,"' }, { 'req': '")&amp;"'} ]","rg:[]")</f>
        <v>rg:[ { 'req' : 'id' }, { 'req': 'fileName' }, { 'req': 'fileContents'} ]</v>
      </c>
      <c r="Y268" s="4" t="str">
        <f>IF(LEN(Table2[[#This Row],[!Unique]])&gt;0,IF(Table2[[#This Row],[!Type]] = "id", "rg:None","rg:True"),"rg:None")</f>
        <v>rg:None</v>
      </c>
    </row>
    <row r="269" spans="1:25" ht="28.8" x14ac:dyDescent="0.3">
      <c r="A269" s="81" t="s">
        <v>160</v>
      </c>
      <c r="B269" s="5" t="s">
        <v>4</v>
      </c>
      <c r="D269" s="81" t="s">
        <v>160</v>
      </c>
      <c r="E269" s="76" t="s">
        <v>369</v>
      </c>
      <c r="F269" s="5" t="s">
        <v>5</v>
      </c>
      <c r="G269" s="4"/>
      <c r="H269" s="4"/>
      <c r="I269" s="5" t="str">
        <f t="shared" si="28"/>
        <v>Defs</v>
      </c>
      <c r="J269" s="4" t="str">
        <f>IF(Table2[[#This Row],[!Type]]=J$1, J$1,"rg:None")</f>
        <v>rg:None</v>
      </c>
      <c r="K269" s="4" t="str">
        <f>IF(Table2[[#This Row],[!Type]]=K$1, K$1,"rg:None")</f>
        <v>rg:None</v>
      </c>
      <c r="L269" s="4" t="str">
        <f>IF(Table2[[#This Row],[!Type]]=L$1, L$1,"rg:None")</f>
        <v>rg:None</v>
      </c>
      <c r="M269" s="4" t="str">
        <f>IF(Table2[[#This Row],[!Type]]=M$1, M$1,"rg:None")</f>
        <v>rg:None</v>
      </c>
      <c r="N269" s="4" t="str">
        <f>IF(Table2[[#This Row],[!Type]]=N$1, N$1,"rg:None")</f>
        <v>rg:None</v>
      </c>
      <c r="O269" s="4" t="str">
        <f>IF(Table2[[#This Row],[!Type]]=O$1, O$1,"rg:None")</f>
        <v>rg:None</v>
      </c>
      <c r="P269" s="4" t="str">
        <f>IF(Table2[[#This Row],[!Type]]=P$1, P$1,"rg:None")</f>
        <v>rg:None</v>
      </c>
      <c r="Q269" s="4" t="str">
        <f>IF(Table2[[#This Row],[!Type]]=Q$1, Q$1,"rg:None")</f>
        <v>rg:None</v>
      </c>
      <c r="R269" s="4" t="str">
        <f>IF(Table2[[#This Row],[!Type]]=R$1, R$1,"rg:None")</f>
        <v>rg:None</v>
      </c>
      <c r="S269" s="4" t="str">
        <f>IF(Table2[[#This Row],[!Type]]=S$1, S$1,"rg:None")</f>
        <v>table</v>
      </c>
      <c r="T269" s="4" t="str">
        <f>IF(LEN(Table2[[#This Row],[!Length]]) &gt; 0, Table2[[#This Row],[!Length]], "rg:None")</f>
        <v>rg:None</v>
      </c>
      <c r="U269" s="4" t="str">
        <f>IF(LEN(Table2[[#This Row],[!Name]]) &gt; 0, Table2[[#This Row],[!Name]], "rg:None")</f>
        <v>History</v>
      </c>
      <c r="V269" s="4" t="str">
        <f>IF(LEN(Table2[[#This Row],[!Description]]) &gt; 0, Table2[[#This Row],[!Description]], "rg:None")</f>
        <v>A log entry created by the system based on a triggering event and related to an entity in the application - e.g. piece of Equipment, an Owner, a Project and so on.</v>
      </c>
      <c r="W269" s="4" t="str">
        <f>IF(LEN(Table2[[#This Row],[!FK]])&gt;0,Table2[[#This Row],[!FK]],"rg:None")</f>
        <v>rg:None</v>
      </c>
      <c r="X269" s="14" t="str">
        <f>IF(LEN(concatif2(A:A,Table2[[#This Row],[!Table]],G:G,"Y",D:D,",")) &gt; 0,"rg:[ { 'req' : '"&amp;concatif2(A:A,Table2[[#This Row],[!Table]],G:G,"Y",D:D,"' }, { 'req': '")&amp;"'} ]","rg:[]")</f>
        <v>rg:[ { 'req' : 'id' }, { 'req': 'historyText'} ]</v>
      </c>
      <c r="Y269" s="4" t="str">
        <f>IF(LEN(Table2[[#This Row],[!Unique]])&gt;0,IF(Table2[[#This Row],[!Type]] = "id", "rg:None","rg:True"),"rg:None")</f>
        <v>rg:None</v>
      </c>
    </row>
    <row r="270" spans="1:25" x14ac:dyDescent="0.3">
      <c r="A270" s="81" t="s">
        <v>160</v>
      </c>
      <c r="B270" s="5" t="s">
        <v>6</v>
      </c>
      <c r="D270" s="5" t="s">
        <v>6</v>
      </c>
      <c r="E270" s="54" t="s">
        <v>315</v>
      </c>
      <c r="F270" s="5" t="s">
        <v>5</v>
      </c>
      <c r="G270" s="4" t="s">
        <v>62</v>
      </c>
      <c r="H270" s="158" t="s">
        <v>62</v>
      </c>
      <c r="I270" s="5" t="str">
        <f t="shared" si="28"/>
        <v>Defs</v>
      </c>
      <c r="J270" s="4" t="str">
        <f>IF(Table2[[#This Row],[!Type]]=J$1, J$1,"rg:None")</f>
        <v>rg:None</v>
      </c>
      <c r="K270" s="4" t="str">
        <f>IF(Table2[[#This Row],[!Type]]=K$1, K$1,"rg:None")</f>
        <v>rg:None</v>
      </c>
      <c r="L270" s="4" t="str">
        <f>IF(Table2[[#This Row],[!Type]]=L$1, L$1,"rg:None")</f>
        <v>rg:None</v>
      </c>
      <c r="M270" s="4" t="str">
        <f>IF(Table2[[#This Row],[!Type]]=M$1, M$1,"rg:None")</f>
        <v>id</v>
      </c>
      <c r="N270" s="4" t="str">
        <f>IF(Table2[[#This Row],[!Type]]=N$1, N$1,"rg:None")</f>
        <v>rg:None</v>
      </c>
      <c r="O270" s="4" t="str">
        <f>IF(Table2[[#This Row],[!Type]]=O$1, O$1,"rg:None")</f>
        <v>rg:None</v>
      </c>
      <c r="P270" s="4" t="str">
        <f>IF(Table2[[#This Row],[!Type]]=P$1, P$1,"rg:None")</f>
        <v>rg:None</v>
      </c>
      <c r="Q270" s="4" t="str">
        <f>IF(Table2[[#This Row],[!Type]]=Q$1, Q$1,"rg:None")</f>
        <v>rg:None</v>
      </c>
      <c r="R270" s="4" t="str">
        <f>IF(Table2[[#This Row],[!Type]]=R$1, R$1,"rg:None")</f>
        <v>rg:None</v>
      </c>
      <c r="S270" s="4" t="str">
        <f>IF(Table2[[#This Row],[!Type]]=S$1, S$1,"rg:None")</f>
        <v>rg:None</v>
      </c>
      <c r="T270" s="4" t="str">
        <f>IF(LEN(Table2[[#This Row],[!Length]]) &gt; 0, Table2[[#This Row],[!Length]], "rg:None")</f>
        <v>rg:None</v>
      </c>
      <c r="U270" s="4" t="str">
        <f>IF(LEN(Table2[[#This Row],[!Name]]) &gt; 0, Table2[[#This Row],[!Name]], "rg:None")</f>
        <v>id</v>
      </c>
      <c r="V270" s="4" t="str">
        <f>IF(LEN(Table2[[#This Row],[!Description]]) &gt; 0, Table2[[#This Row],[!Description]], "rg:None")</f>
        <v>A system-generated unique identifier for a History</v>
      </c>
      <c r="W270" s="4" t="str">
        <f>IF(LEN(Table2[[#This Row],[!FK]])&gt;0,Table2[[#This Row],[!FK]],"rg:None")</f>
        <v>rg:None</v>
      </c>
      <c r="X270" s="14" t="str">
        <f>IF(LEN(concatif2(A:A,Table2[[#This Row],[!Table]],G:G,"Y",D:D,",")) &gt; 0,"rg:[ { 'req' : '"&amp;concatif2(A:A,Table2[[#This Row],[!Table]],G:G,"Y",D:D,"' }, { 'req': '")&amp;"'} ]","rg:[]")</f>
        <v>rg:[ { 'req' : 'id' }, { 'req': 'historyText'} ]</v>
      </c>
      <c r="Y270" s="4" t="str">
        <f>IF(LEN(Table2[[#This Row],[!Unique]])&gt;0,IF(Table2[[#This Row],[!Type]] = "id", "rg:None","rg:True"),"rg:None")</f>
        <v>rg:None</v>
      </c>
    </row>
    <row r="271" spans="1:25" x14ac:dyDescent="0.3">
      <c r="A271" s="81" t="s">
        <v>160</v>
      </c>
      <c r="B271" s="81" t="s">
        <v>7</v>
      </c>
      <c r="C271" s="5">
        <v>2048</v>
      </c>
      <c r="D271" s="106" t="s">
        <v>209</v>
      </c>
      <c r="E271" s="107" t="s">
        <v>210</v>
      </c>
      <c r="G271" s="41" t="s">
        <v>62</v>
      </c>
      <c r="H271" s="41"/>
      <c r="I271" s="5" t="str">
        <f t="shared" si="28"/>
        <v>Defs</v>
      </c>
      <c r="J271" s="4" t="str">
        <f>IF(Table2[[#This Row],[!Type]]=J$1, J$1,"rg:None")</f>
        <v>rg:None</v>
      </c>
      <c r="K271" s="4" t="str">
        <f>IF(Table2[[#This Row],[!Type]]=K$1, K$1,"rg:None")</f>
        <v>rg:None</v>
      </c>
      <c r="L271" s="4" t="str">
        <f>IF(Table2[[#This Row],[!Type]]=L$1, L$1,"rg:None")</f>
        <v>rg:None</v>
      </c>
      <c r="M271" s="4" t="str">
        <f>IF(Table2[[#This Row],[!Type]]=M$1, M$1,"rg:None")</f>
        <v>rg:None</v>
      </c>
      <c r="N271" s="4" t="str">
        <f>IF(Table2[[#This Row],[!Type]]=N$1, N$1,"rg:None")</f>
        <v>rg:None</v>
      </c>
      <c r="O271" s="4" t="str">
        <f>IF(Table2[[#This Row],[!Type]]=O$1, O$1,"rg:None")</f>
        <v>rg:None</v>
      </c>
      <c r="P271" s="4" t="str">
        <f>IF(Table2[[#This Row],[!Type]]=P$1, P$1,"rg:None")</f>
        <v>rg:None</v>
      </c>
      <c r="Q271" s="4" t="str">
        <f>IF(Table2[[#This Row],[!Type]]=Q$1, Q$1,"rg:None")</f>
        <v>rg:None</v>
      </c>
      <c r="R271" s="4" t="str">
        <f>IF(Table2[[#This Row],[!Type]]=R$1, R$1,"rg:None")</f>
        <v>string</v>
      </c>
      <c r="S271" s="4" t="str">
        <f>IF(Table2[[#This Row],[!Type]]=S$1, S$1,"rg:None")</f>
        <v>rg:None</v>
      </c>
      <c r="T271" s="4">
        <f>IF(LEN(Table2[[#This Row],[!Length]]) &gt; 0, Table2[[#This Row],[!Length]], "rg:None")</f>
        <v>2048</v>
      </c>
      <c r="U271" s="4" t="str">
        <f>IF(LEN(Table2[[#This Row],[!Name]]) &gt; 0, Table2[[#This Row],[!Name]], "rg:None")</f>
        <v>historyText</v>
      </c>
      <c r="V271" s="4" t="str">
        <f>IF(LEN(Table2[[#This Row],[!Description]]) &gt; 0, Table2[[#This Row],[!Description]], "rg:None")</f>
        <v>The text of the history entry tracked against the related entity.</v>
      </c>
      <c r="W271" s="4" t="str">
        <f>IF(LEN(Table2[[#This Row],[!FK]])&gt;0,Table2[[#This Row],[!FK]],"rg:None")</f>
        <v>rg:None</v>
      </c>
      <c r="X271" s="14" t="str">
        <f>IF(LEN(concatif2(A:A,Table2[[#This Row],[!Table]],G:G,"Y",D:D,",")) &gt; 0,"rg:[ { 'req' : '"&amp;concatif2(A:A,Table2[[#This Row],[!Table]],G:G,"Y",D:D,"' }, { 'req': '")&amp;"'} ]","rg:[]")</f>
        <v>rg:[ { 'req' : 'id' }, { 'req': 'historyText'} ]</v>
      </c>
      <c r="Y271" s="4" t="str">
        <f>IF(LEN(Table2[[#This Row],[!Unique]])&gt;0,IF(Table2[[#This Row],[!Type]] = "id", "rg:None","rg:True"),"rg:None")</f>
        <v>rg:None</v>
      </c>
    </row>
    <row r="272" spans="1:25" x14ac:dyDescent="0.3">
      <c r="A272" s="81" t="s">
        <v>160</v>
      </c>
      <c r="B272" s="19" t="s">
        <v>12</v>
      </c>
      <c r="C272" s="72"/>
      <c r="D272" s="31" t="s">
        <v>208</v>
      </c>
      <c r="E272" s="51" t="s">
        <v>161</v>
      </c>
      <c r="F272" s="12"/>
      <c r="G272" s="18"/>
      <c r="H272" s="18"/>
      <c r="I272" s="4" t="str">
        <f>IF(LEN(A272) &gt; 0,"Defs","-")</f>
        <v>Defs</v>
      </c>
      <c r="J272" s="14" t="str">
        <f>IF(Table2[[#This Row],[!Type]]=J$1, J$1,"rg:None")</f>
        <v>rg:None</v>
      </c>
      <c r="K272" s="14" t="str">
        <f>IF(Table2[[#This Row],[!Type]]=K$1, K$1,"rg:None")</f>
        <v>rg:None</v>
      </c>
      <c r="L272" s="14" t="str">
        <f>IF(Table2[[#This Row],[!Type]]=L$1, L$1,"rg:None")</f>
        <v>datetime</v>
      </c>
      <c r="M272" s="14" t="str">
        <f>IF(Table2[[#This Row],[!Type]]=M$1, M$1,"rg:None")</f>
        <v>rg:None</v>
      </c>
      <c r="N272" s="14" t="str">
        <f>IF(Table2[[#This Row],[!Type]]=N$1, N$1,"rg:None")</f>
        <v>rg:None</v>
      </c>
      <c r="O272" s="14" t="str">
        <f>IF(Table2[[#This Row],[!Type]]=O$1, O$1,"rg:None")</f>
        <v>rg:None</v>
      </c>
      <c r="P272" s="4" t="str">
        <f>IF(Table2[[#This Row],[!Type]]=P$1, P$1,"rg:None")</f>
        <v>rg:None</v>
      </c>
      <c r="Q272" s="4" t="str">
        <f>IF(Table2[[#This Row],[!Type]]=Q$1, Q$1,"rg:None")</f>
        <v>rg:None</v>
      </c>
      <c r="R272" s="4" t="str">
        <f>IF(Table2[[#This Row],[!Type]]=R$1, R$1,"rg:None")</f>
        <v>rg:None</v>
      </c>
      <c r="S272" s="4" t="str">
        <f>IF(Table2[[#This Row],[!Type]]=S$1, S$1,"rg:None")</f>
        <v>rg:None</v>
      </c>
      <c r="T272" s="14" t="str">
        <f>IF(LEN(Table2[[#This Row],[!Length]]) &gt; 0, Table2[[#This Row],[!Length]], "rg:None")</f>
        <v>rg:None</v>
      </c>
      <c r="U272" s="14" t="str">
        <f>IF(LEN(Table2[[#This Row],[!Name]]) &gt; 0, Table2[[#This Row],[!Name]], "rg:None")</f>
        <v>createdDate</v>
      </c>
      <c r="V272" s="14" t="str">
        <f>IF(LEN(Table2[[#This Row],[!Description]]) &gt; 0, Table2[[#This Row],[!Description]], "rg:None")</f>
        <v>Date the record is created.</v>
      </c>
      <c r="W272" s="14" t="str">
        <f>IF(LEN(Table2[[#This Row],[!FK]])&gt;0,Table2[[#This Row],[!FK]],"rg:None")</f>
        <v>rg:None</v>
      </c>
      <c r="X272" s="14" t="str">
        <f>IF(LEN(concatif2(A:A,Table2[[#This Row],[!Table]],G:G,"Y",D:D,",")) &gt; 0,"rg:[ { 'req' : '"&amp;concatif2(A:A,Table2[[#This Row],[!Table]],G:G,"Y",D:D,"' }, { 'req': '")&amp;"'} ]","rg:[]")</f>
        <v>rg:[ { 'req' : 'id' }, { 'req': 'historyText'} ]</v>
      </c>
      <c r="Y272" s="14" t="str">
        <f>IF(LEN(Table2[[#This Row],[!Unique]])&gt;0,IF(Table2[[#This Row],[!Type]] = "id", "rg:None","rg:True"),"rg:None")</f>
        <v>rg:None</v>
      </c>
    </row>
    <row r="273" spans="1:25" ht="28.8" x14ac:dyDescent="0.3">
      <c r="A273" s="5" t="s">
        <v>22</v>
      </c>
      <c r="B273" s="5" t="s">
        <v>4</v>
      </c>
      <c r="D273" s="5" t="s">
        <v>22</v>
      </c>
      <c r="E273" s="54" t="s">
        <v>63</v>
      </c>
      <c r="F273" s="5" t="s">
        <v>5</v>
      </c>
      <c r="G273" s="4"/>
      <c r="H273" s="4"/>
      <c r="I273" s="5" t="str">
        <f t="shared" ref="I273:I315" si="29">IF(LEN(A273) &gt; 0,"Defs","-")</f>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table</v>
      </c>
      <c r="T273" s="8" t="str">
        <f>IF(LEN(Table2[[#This Row],[!Length]]) &gt; 0, Table2[[#This Row],[!Length]], "rg:None")</f>
        <v>rg:None</v>
      </c>
      <c r="U273" s="8" t="str">
        <f>IF(LEN(Table2[[#This Row],[!Name]]) &gt; 0, Table2[[#This Row],[!Name]], "rg:None")</f>
        <v>UserFavourite</v>
      </c>
      <c r="V273" s="8" t="str">
        <f>IF(LEN(Table2[[#This Row],[!Description]]) &gt; 0, Table2[[#This Row],[!Description]], "rg:None")</f>
        <v>User specific settings for a specific location in the UI. The location and saved settings are internally defined by the UI.</v>
      </c>
      <c r="W273" s="8" t="str">
        <f>IF(LEN(Table2[[#This Row],[!FK]])&gt;0,Table2[[#This Row],[!FK]],"rg:None")</f>
        <v>rg:None</v>
      </c>
      <c r="X273" s="8" t="str">
        <f>IF(LEN(concatif2(A:A,Table2[[#This Row],[!Table]],G:G,"Y",D:D,",")) &gt; 0,"rg:[ { 'req' : '"&amp;concatif2(A:A,Table2[[#This Row],[!Table]],G:G,"Y",D:D,"' }, { 'req': '")&amp;"'} ]","rg:[]")</f>
        <v>rg:[ { 'req' : 'id' }, { 'req': 'name' }, { 'req': 'value' }, { 'req': 'type' }, { 'req': 'User'} ]</v>
      </c>
      <c r="Y273" s="8" t="str">
        <f>IF(LEN(Table2[[#This Row],[!Unique]])&gt;0,IF(Table2[[#This Row],[!Type]] = "id", "rg:None","rg:True"),"rg:None")</f>
        <v>rg:None</v>
      </c>
    </row>
    <row r="274" spans="1:25" x14ac:dyDescent="0.3">
      <c r="A274" s="5" t="s">
        <v>22</v>
      </c>
      <c r="B274" s="5" t="s">
        <v>6</v>
      </c>
      <c r="D274" s="5" t="s">
        <v>6</v>
      </c>
      <c r="E274" s="54" t="s">
        <v>316</v>
      </c>
      <c r="F274" s="5" t="s">
        <v>5</v>
      </c>
      <c r="G274" s="4" t="s">
        <v>62</v>
      </c>
      <c r="H274" s="158" t="s">
        <v>62</v>
      </c>
      <c r="I274" s="5" t="str">
        <f t="shared" si="29"/>
        <v>Defs</v>
      </c>
      <c r="J274" s="8" t="str">
        <f>IF(Table2[[#This Row],[!Type]]=J$1, J$1,"rg:None")</f>
        <v>rg:None</v>
      </c>
      <c r="K274" s="8" t="str">
        <f>IF(Table2[[#This Row],[!Type]]=K$1, K$1,"rg:None")</f>
        <v>rg:None</v>
      </c>
      <c r="L274" s="8" t="str">
        <f>IF(Table2[[#This Row],[!Type]]=L$1, L$1,"rg:None")</f>
        <v>rg:None</v>
      </c>
      <c r="M274" s="8" t="str">
        <f>IF(Table2[[#This Row],[!Type]]=M$1, M$1,"rg:None")</f>
        <v>id</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id</v>
      </c>
      <c r="V274" s="8" t="str">
        <f>IF(LEN(Table2[[#This Row],[!Description]]) &gt; 0, Table2[[#This Row],[!Description]], "rg:None")</f>
        <v>A system-generated unique identifier for a UserFavourite</v>
      </c>
      <c r="W274" s="8" t="str">
        <f>IF(LEN(Table2[[#This Row],[!FK]])&gt;0,Table2[[#This Row],[!FK]],"rg:None")</f>
        <v>rg:None</v>
      </c>
      <c r="X274" s="8" t="str">
        <f>IF(LEN(concatif2(A:A,Table2[[#This Row],[!Table]],G:G,"Y",D:D,",")) &gt; 0,"rg:[ { 'req' : '"&amp;concatif2(A:A,Table2[[#This Row],[!Table]],G:G,"Y",D:D,"' }, { 'req': '")&amp;"'} ]","rg:[]")</f>
        <v>rg:[ { 'req' : 'id' }, { 'req': 'name' }, { 'req': 'value' }, { 'req': 'type' }, { 'req': 'User'} ]</v>
      </c>
      <c r="Y274" s="8" t="str">
        <f>IF(LEN(Table2[[#This Row],[!Unique]])&gt;0,IF(Table2[[#This Row],[!Type]] = "id", "rg:None","rg:True"),"rg:None")</f>
        <v>rg:None</v>
      </c>
    </row>
    <row r="275" spans="1:25" ht="28.8" x14ac:dyDescent="0.3">
      <c r="A275" s="5" t="s">
        <v>22</v>
      </c>
      <c r="B275" s="5" t="s">
        <v>7</v>
      </c>
      <c r="C275" s="5">
        <v>150</v>
      </c>
      <c r="D275" s="5" t="s">
        <v>15</v>
      </c>
      <c r="E275" s="54" t="s">
        <v>23</v>
      </c>
      <c r="F275" s="5" t="s">
        <v>5</v>
      </c>
      <c r="G275" s="158" t="s">
        <v>62</v>
      </c>
      <c r="H275" s="4"/>
      <c r="I275" s="5" t="str">
        <f t="shared" si="29"/>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150</v>
      </c>
      <c r="U275" s="8" t="str">
        <f>IF(LEN(Table2[[#This Row],[!Name]]) &gt; 0, Table2[[#This Row],[!Name]], "rg:None")</f>
        <v>name</v>
      </c>
      <c r="V275" s="8" t="str">
        <f>IF(LEN(Table2[[#This Row],[!Description]]) &gt; 0, Table2[[#This Row],[!Description]], "rg:None")</f>
        <v>The user-defined name for the recorded settings. Allows the user to save different groups of settings and access each one easily when needed.</v>
      </c>
      <c r="W275" s="8" t="str">
        <f>IF(LEN(Table2[[#This Row],[!FK]])&gt;0,Table2[[#This Row],[!FK]],"rg:None")</f>
        <v>rg:None</v>
      </c>
      <c r="X275" s="8" t="str">
        <f>IF(LEN(concatif2(A:A,Table2[[#This Row],[!Table]],G:G,"Y",D:D,",")) &gt; 0,"rg:[ { 'req' : '"&amp;concatif2(A:A,Table2[[#This Row],[!Table]],G:G,"Y",D:D,"' }, { 'req': '")&amp;"'} ]","rg:[]")</f>
        <v>rg:[ { 'req' : 'id' }, { 'req': 'name' }, { 'req': 'value' }, { 'req': 'type' }, { 'req': 'User'} ]</v>
      </c>
      <c r="Y275" s="8" t="str">
        <f>IF(LEN(Table2[[#This Row],[!Unique]])&gt;0,IF(Table2[[#This Row],[!Type]] = "id", "rg:None","rg:True"),"rg:None")</f>
        <v>rg:None</v>
      </c>
    </row>
    <row r="276" spans="1:25" ht="28.8" x14ac:dyDescent="0.3">
      <c r="A276" s="5" t="s">
        <v>22</v>
      </c>
      <c r="B276" s="5" t="s">
        <v>7</v>
      </c>
      <c r="C276" s="5">
        <v>2048</v>
      </c>
      <c r="D276" s="5" t="s">
        <v>24</v>
      </c>
      <c r="E276" s="54" t="s">
        <v>25</v>
      </c>
      <c r="F276" s="5" t="s">
        <v>5</v>
      </c>
      <c r="G276" s="158" t="s">
        <v>62</v>
      </c>
      <c r="H276" s="4"/>
      <c r="I276" s="5" t="str">
        <f t="shared" si="29"/>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2048</v>
      </c>
      <c r="U276" s="8" t="str">
        <f>IF(LEN(Table2[[#This Row],[!Name]]) &gt; 0, Table2[[#This Row],[!Name]], "rg:None")</f>
        <v>value</v>
      </c>
      <c r="V276" s="8" t="str">
        <f>IF(LEN(Table2[[#This Row],[!Description]]) &gt; 0, Table2[[#This Row],[!Description]], "rg:None")</f>
        <v>The settings saved by the user. In general,  a UI defined chunk of json that stores the settings in place when the user created the favourite.</v>
      </c>
      <c r="W276" s="8" t="str">
        <f>IF(LEN(Table2[[#This Row],[!FK]])&gt;0,Table2[[#This Row],[!FK]],"rg:None")</f>
        <v>rg:None</v>
      </c>
      <c r="X276" s="8" t="str">
        <f>IF(LEN(concatif2(A:A,Table2[[#This Row],[!Table]],G:G,"Y",D:D,",")) &gt; 0,"rg:[ { 'req' : '"&amp;concatif2(A:A,Table2[[#This Row],[!Table]],G:G,"Y",D:D,"' }, { 'req': '")&amp;"'} ]","rg:[]")</f>
        <v>rg:[ { 'req' : 'id' }, { 'req': 'name' }, { 'req': 'value' }, { 'req': 'type' }, { 'req': 'User'} ]</v>
      </c>
      <c r="Y276" s="8" t="str">
        <f>IF(LEN(Table2[[#This Row],[!Unique]])&gt;0,IF(Table2[[#This Row],[!Type]] = "id", "rg:None","rg:True"),"rg:None")</f>
        <v>rg:None</v>
      </c>
    </row>
    <row r="277" spans="1:25" ht="57.6" x14ac:dyDescent="0.3">
      <c r="A277" s="5" t="s">
        <v>22</v>
      </c>
      <c r="B277" s="5" t="s">
        <v>9</v>
      </c>
      <c r="D277" s="5" t="s">
        <v>26</v>
      </c>
      <c r="E277" s="54" t="s">
        <v>27</v>
      </c>
      <c r="F277" s="5" t="s">
        <v>5</v>
      </c>
      <c r="G277" s="4"/>
      <c r="H277" s="4"/>
      <c r="I277" s="5" t="str">
        <f t="shared" si="29"/>
        <v>Defs</v>
      </c>
      <c r="J277" s="8" t="str">
        <f>IF(Table2[[#This Row],[!Type]]=J$1, J$1,"rg:None")</f>
        <v>boolean</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isDefault</v>
      </c>
      <c r="V277"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7" s="8" t="str">
        <f>IF(LEN(Table2[[#This Row],[!FK]])&gt;0,Table2[[#This Row],[!FK]],"rg:None")</f>
        <v>rg:None</v>
      </c>
      <c r="X277" s="8" t="str">
        <f>IF(LEN(concatif2(A:A,Table2[[#This Row],[!Table]],G:G,"Y",D:D,",")) &gt; 0,"rg:[ { 'req' : '"&amp;concatif2(A:A,Table2[[#This Row],[!Table]],G:G,"Y",D:D,"' }, { 'req': '")&amp;"'} ]","rg:[]")</f>
        <v>rg:[ { 'req' : 'id' }, { 'req': 'name' }, { 'req': 'value' }, { 'req': 'type' }, { 'req': 'User'} ]</v>
      </c>
      <c r="Y277" s="8" t="str">
        <f>IF(LEN(Table2[[#This Row],[!Unique]])&gt;0,IF(Table2[[#This Row],[!Type]] = "id", "rg:None","rg:True"),"rg:None")</f>
        <v>rg:None</v>
      </c>
    </row>
    <row r="278" spans="1:25" x14ac:dyDescent="0.3">
      <c r="A278" s="5" t="s">
        <v>22</v>
      </c>
      <c r="B278" s="108" t="s">
        <v>7</v>
      </c>
      <c r="C278" s="5">
        <v>150</v>
      </c>
      <c r="D278" s="108" t="s">
        <v>20</v>
      </c>
      <c r="E278" s="52" t="s">
        <v>214</v>
      </c>
      <c r="G278" s="158" t="s">
        <v>62</v>
      </c>
      <c r="H278" s="4"/>
      <c r="I278" s="5" t="str">
        <f t="shared" si="29"/>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8">
        <f>IF(LEN(Table2[[#This Row],[!Length]]) &gt; 0, Table2[[#This Row],[!Length]], "rg:None")</f>
        <v>150</v>
      </c>
      <c r="U278" s="8" t="str">
        <f>IF(LEN(Table2[[#This Row],[!Name]]) &gt; 0, Table2[[#This Row],[!Name]], "rg:None")</f>
        <v>type</v>
      </c>
      <c r="V278" s="8" t="str">
        <f>IF(LEN(Table2[[#This Row],[!Description]]) &gt; 0, Table2[[#This Row],[!Description]], "rg:None")</f>
        <v>The type of Favourite</v>
      </c>
      <c r="W278" s="8" t="str">
        <f>IF(LEN(Table2[[#This Row],[!FK]])&gt;0,Table2[[#This Row],[!FK]],"rg:None")</f>
        <v>rg:None</v>
      </c>
      <c r="X278" s="8" t="str">
        <f>IF(LEN(concatif2(A:A,Table2[[#This Row],[!Table]],G:G,"Y",D:D,",")) &gt; 0,"rg:[ { 'req' : '"&amp;concatif2(A:A,Table2[[#This Row],[!Table]],G:G,"Y",D:D,"' }, { 'req': '")&amp;"'} ]","rg:[]")</f>
        <v>rg:[ { 'req' : 'id' }, { 'req': 'name' }, { 'req': 'value' }, { 'req': 'type' }, { 'req': 'User'} ]</v>
      </c>
      <c r="Y278" s="8" t="str">
        <f>IF(LEN(Table2[[#This Row],[!Unique]])&gt;0,IF(Table2[[#This Row],[!Type]] = "id", "rg:None","rg:True"),"rg:None")</f>
        <v>rg:None</v>
      </c>
    </row>
    <row r="279" spans="1:25" x14ac:dyDescent="0.3">
      <c r="A279" s="38" t="s">
        <v>22</v>
      </c>
      <c r="B279" s="38" t="s">
        <v>8</v>
      </c>
      <c r="C279" s="72"/>
      <c r="D279" s="38" t="s">
        <v>0</v>
      </c>
      <c r="E279" s="53" t="s">
        <v>215</v>
      </c>
      <c r="F279" s="39" t="s">
        <v>0</v>
      </c>
      <c r="G279" s="157" t="s">
        <v>62</v>
      </c>
      <c r="H279" s="18"/>
      <c r="I279" s="4" t="str">
        <f>IF(LEN(A279) &gt; 0,"Defs","-")</f>
        <v>Defs</v>
      </c>
      <c r="J279" s="14" t="str">
        <f>IF(Table2[[#This Row],[!Type]]=J$1, J$1,"rg:None")</f>
        <v>rg:None</v>
      </c>
      <c r="K279" s="14" t="str">
        <f>IF(Table2[[#This Row],[!Type]]=K$1, K$1,"rg:None")</f>
        <v>rg:None</v>
      </c>
      <c r="L279" s="14" t="str">
        <f>IF(Table2[[#This Row],[!Type]]=L$1, L$1,"rg:None")</f>
        <v>rg:None</v>
      </c>
      <c r="M279" s="14" t="str">
        <f>IF(Table2[[#This Row],[!Type]]=M$1, M$1,"rg:None")</f>
        <v>rg:None</v>
      </c>
      <c r="N279" s="14" t="str">
        <f>IF(Table2[[#This Row],[!Type]]=N$1, N$1,"rg:None")</f>
        <v>rg:None</v>
      </c>
      <c r="O279" s="14" t="str">
        <f>IF(Table2[[#This Row],[!Type]]=O$1, O$1,"rg:None")</f>
        <v>rg:None</v>
      </c>
      <c r="P279" s="4" t="str">
        <f>IF(Table2[[#This Row],[!Type]]=P$1, P$1,"rg:None")</f>
        <v>rg:None</v>
      </c>
      <c r="Q279" s="4" t="str">
        <f>IF(Table2[[#This Row],[!Type]]=Q$1, Q$1,"rg:None")</f>
        <v>ref</v>
      </c>
      <c r="R279" s="4" t="str">
        <f>IF(Table2[[#This Row],[!Type]]=R$1, R$1,"rg:None")</f>
        <v>rg:None</v>
      </c>
      <c r="S279" s="4" t="str">
        <f>IF(Table2[[#This Row],[!Type]]=S$1, S$1,"rg:None")</f>
        <v>rg:None</v>
      </c>
      <c r="T279" s="14" t="str">
        <f>IF(LEN(Table2[[#This Row],[!Length]]) &gt; 0, Table2[[#This Row],[!Length]], "rg:None")</f>
        <v>rg:None</v>
      </c>
      <c r="U279" s="14" t="str">
        <f>IF(LEN(Table2[[#This Row],[!Name]]) &gt; 0, Table2[[#This Row],[!Name]], "rg:None")</f>
        <v>User</v>
      </c>
      <c r="V279" s="14" t="str">
        <f>IF(LEN(Table2[[#This Row],[!Description]]) &gt; 0, Table2[[#This Row],[!Description]], "rg:None")</f>
        <v>The User who has this Favourite</v>
      </c>
      <c r="W279" s="14" t="str">
        <f>IF(LEN(Table2[[#This Row],[!FK]])&gt;0,Table2[[#This Row],[!FK]],"rg:None")</f>
        <v>User</v>
      </c>
      <c r="X279" s="14" t="str">
        <f>IF(LEN(concatif2(A:A,Table2[[#This Row],[!Table]],G:G,"Y",D:D,",")) &gt; 0,"rg:[ { 'req' : '"&amp;concatif2(A:A,Table2[[#This Row],[!Table]],G:G,"Y",D:D,"' }, { 'req': '")&amp;"'} ]","rg:[]")</f>
        <v>rg:[ { 'req' : 'id' }, { 'req': 'name' }, { 'req': 'value' }, { 'req': 'type' }, { 'req': 'User'} ]</v>
      </c>
      <c r="Y279" s="14" t="str">
        <f>IF(LEN(Table2[[#This Row],[!Unique]])&gt;0,IF(Table2[[#This Row],[!Type]] = "id", "rg:None","rg:True"),"rg:None")</f>
        <v>rg:None</v>
      </c>
    </row>
    <row r="280" spans="1:25" x14ac:dyDescent="0.3">
      <c r="A280" s="5" t="s">
        <v>28</v>
      </c>
      <c r="B280" s="5" t="s">
        <v>4</v>
      </c>
      <c r="D280" s="5" t="s">
        <v>28</v>
      </c>
      <c r="E280" s="76" t="s">
        <v>401</v>
      </c>
      <c r="F280" s="5" t="s">
        <v>5</v>
      </c>
      <c r="G280" s="4"/>
      <c r="H280" s="4"/>
      <c r="I280" s="5" t="str">
        <f t="shared" si="29"/>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Region</v>
      </c>
      <c r="V280" s="8" t="str">
        <f>IF(LEN(Table2[[#This Row],[!Description]]) &gt; 0, Table2[[#This Row],[!Description]], "rg:None")</f>
        <v>The Ministry of Transportion and Infrastructure REGION.</v>
      </c>
      <c r="W280" s="8" t="str">
        <f>IF(LEN(Table2[[#This Row],[!FK]])&gt;0,Table2[[#This Row],[!FK]],"rg:None")</f>
        <v>rg:None</v>
      </c>
      <c r="X280" s="8" t="str">
        <f>IF(LEN(concatif2(A:A,Table2[[#This Row],[!Table]],G:G,"Y",D:D,",")) &gt; 0,"rg:[ { 'req' : '"&amp;concatif2(A:A,Table2[[#This Row],[!Table]],G:G,"Y",D:D,"' }, { 'req': '")&amp;"'} ]","rg:[]")</f>
        <v>rg:[ { 'req' : 'id' }, { 'req': 'ministryRegionID' }, { 'req': 'name' }, { 'req': 'startDate'} ]</v>
      </c>
      <c r="Y280" s="8" t="str">
        <f>IF(LEN(Table2[[#This Row],[!Unique]])&gt;0,IF(Table2[[#This Row],[!Type]] = "id", "rg:None","rg:True"),"rg:None")</f>
        <v>rg:None</v>
      </c>
    </row>
    <row r="281" spans="1:25" x14ac:dyDescent="0.3">
      <c r="A281" s="5" t="s">
        <v>28</v>
      </c>
      <c r="B281" s="5" t="s">
        <v>6</v>
      </c>
      <c r="D281" s="5" t="s">
        <v>6</v>
      </c>
      <c r="E281" s="54" t="s">
        <v>317</v>
      </c>
      <c r="F281" s="5" t="s">
        <v>5</v>
      </c>
      <c r="G281" s="4" t="s">
        <v>62</v>
      </c>
      <c r="H281" s="158" t="s">
        <v>62</v>
      </c>
      <c r="I281" s="5" t="str">
        <f t="shared" si="29"/>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Region</v>
      </c>
      <c r="W281" s="8" t="str">
        <f>IF(LEN(Table2[[#This Row],[!FK]])&gt;0,Table2[[#This Row],[!FK]],"rg:None")</f>
        <v>rg:None</v>
      </c>
      <c r="X281" s="8" t="str">
        <f>IF(LEN(concatif2(A:A,Table2[[#This Row],[!Table]],G:G,"Y",D:D,",")) &gt; 0,"rg:[ { 'req' : '"&amp;concatif2(A:A,Table2[[#This Row],[!Table]],G:G,"Y",D:D,"' }, { 'req': '")&amp;"'} ]","rg:[]")</f>
        <v>rg:[ { 'req' : 'id' }, { 'req': 'ministryRegionID' }, { 'req': 'name' }, { 'req': 'startDate'} ]</v>
      </c>
      <c r="Y281" s="8" t="str">
        <f>IF(LEN(Table2[[#This Row],[!Unique]])&gt;0,IF(Table2[[#This Row],[!Type]] = "id", "rg:None","rg:True"),"rg:None")</f>
        <v>rg:None</v>
      </c>
    </row>
    <row r="282" spans="1:25" x14ac:dyDescent="0.3">
      <c r="A282" s="5" t="s">
        <v>28</v>
      </c>
      <c r="B282" s="5" t="s">
        <v>13</v>
      </c>
      <c r="D282" s="5" t="s">
        <v>29</v>
      </c>
      <c r="E282" s="76" t="s">
        <v>406</v>
      </c>
      <c r="F282" s="5" t="s">
        <v>5</v>
      </c>
      <c r="G282" s="41" t="s">
        <v>62</v>
      </c>
      <c r="H282" s="41" t="s">
        <v>62</v>
      </c>
      <c r="I282" s="5" t="str">
        <f t="shared" si="29"/>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integer</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ministryRegionID</v>
      </c>
      <c r="V282" s="8" t="str">
        <f>IF(LEN(Table2[[#This Row],[!Description]]) &gt; 0, Table2[[#This Row],[!Description]], "rg:None")</f>
        <v>A system generated unique identifier. NOT GENERATED IN THIS SYSTEM.</v>
      </c>
      <c r="W282" s="8" t="str">
        <f>IF(LEN(Table2[[#This Row],[!FK]])&gt;0,Table2[[#This Row],[!FK]],"rg:None")</f>
        <v>rg:None</v>
      </c>
      <c r="X282" s="8" t="str">
        <f>IF(LEN(concatif2(A:A,Table2[[#This Row],[!Table]],G:G,"Y",D:D,",")) &gt; 0,"rg:[ { 'req' : '"&amp;concatif2(A:A,Table2[[#This Row],[!Table]],G:G,"Y",D:D,"' }, { 'req': '")&amp;"'} ]","rg:[]")</f>
        <v>rg:[ { 'req' : 'id' }, { 'req': 'ministryRegionID' }, { 'req': 'name' }, { 'req': 'startDate'} ]</v>
      </c>
      <c r="Y282" s="8" t="str">
        <f>IF(LEN(Table2[[#This Row],[!Unique]])&gt;0,IF(Table2[[#This Row],[!Type]] = "id", "rg:None","rg:True"),"rg:None")</f>
        <v>rg:True</v>
      </c>
    </row>
    <row r="283" spans="1:25" x14ac:dyDescent="0.3">
      <c r="A283" s="61" t="s">
        <v>28</v>
      </c>
      <c r="B283" s="61" t="s">
        <v>13</v>
      </c>
      <c r="C283" s="72"/>
      <c r="D283" s="61" t="s">
        <v>402</v>
      </c>
      <c r="E283" s="60" t="s">
        <v>403</v>
      </c>
      <c r="F283" s="12"/>
      <c r="G283" s="18"/>
      <c r="H283" s="18"/>
      <c r="I283" s="4" t="str">
        <f>IF(LEN(A283) &gt; 0,"Defs","-")</f>
        <v>Defs</v>
      </c>
      <c r="J283" s="14" t="str">
        <f>IF(Table2[[#This Row],[!Type]]=J$1, J$1,"rg:None")</f>
        <v>rg:None</v>
      </c>
      <c r="K283" s="14" t="str">
        <f>IF(Table2[[#This Row],[!Type]]=K$1, K$1,"rg:None")</f>
        <v>rg:None</v>
      </c>
      <c r="L283" s="14" t="str">
        <f>IF(Table2[[#This Row],[!Type]]=L$1, L$1,"rg:None")</f>
        <v>rg:None</v>
      </c>
      <c r="M283" s="14" t="str">
        <f>IF(Table2[[#This Row],[!Type]]=M$1, M$1,"rg:None")</f>
        <v>rg:None</v>
      </c>
      <c r="N283" s="14" t="str">
        <f>IF(Table2[[#This Row],[!Type]]=N$1, N$1,"rg:None")</f>
        <v>integer</v>
      </c>
      <c r="O283" s="14" t="str">
        <f>IF(Table2[[#This Row],[!Type]]=O$1, O$1,"rg:None")</f>
        <v>rg:None</v>
      </c>
      <c r="P283" s="4" t="str">
        <f>IF(Table2[[#This Row],[!Type]]=P$1, P$1,"rg:None")</f>
        <v>rg:None</v>
      </c>
      <c r="Q283" s="4" t="str">
        <f>IF(Table2[[#This Row],[!Type]]=Q$1, Q$1,"rg:None")</f>
        <v>rg:None</v>
      </c>
      <c r="R283" s="4" t="str">
        <f>IF(Table2[[#This Row],[!Type]]=R$1, R$1,"rg:None")</f>
        <v>rg:None</v>
      </c>
      <c r="S283" s="4" t="str">
        <f>IF(Table2[[#This Row],[!Type]]=S$1, S$1,"rg:None")</f>
        <v>rg:None</v>
      </c>
      <c r="T283" s="14" t="str">
        <f>IF(LEN(Table2[[#This Row],[!Length]]) &gt; 0, Table2[[#This Row],[!Length]], "rg:None")</f>
        <v>rg:None</v>
      </c>
      <c r="U283" s="14" t="str">
        <f>IF(LEN(Table2[[#This Row],[!Name]]) &gt; 0, Table2[[#This Row],[!Name]], "rg:None")</f>
        <v>regionNumber</v>
      </c>
      <c r="V283" s="14" t="str">
        <f>IF(LEN(Table2[[#This Row],[!Description]]) &gt; 0, Table2[[#This Row],[!Description]], "rg:None")</f>
        <v>A code that uniquely defines a Region.</v>
      </c>
      <c r="W283" s="14" t="str">
        <f>IF(LEN(Table2[[#This Row],[!FK]])&gt;0,Table2[[#This Row],[!FK]],"rg:None")</f>
        <v>rg:None</v>
      </c>
      <c r="X283" s="14" t="str">
        <f>IF(LEN(concatif2(A:A,Table2[[#This Row],[!Table]],G:G,"Y",D:D,",")) &gt; 0,"rg:[ { 'req' : '"&amp;concatif2(A:A,Table2[[#This Row],[!Table]],G:G,"Y",D:D,"' }, { 'req': '")&amp;"'} ]","rg:[]")</f>
        <v>rg:[ { 'req' : 'id' }, { 'req': 'ministryRegionID' }, { 'req': 'name' }, { 'req': 'startDate'} ]</v>
      </c>
      <c r="Y283" s="14" t="str">
        <f>IF(LEN(Table2[[#This Row],[!Unique]])&gt;0,IF(Table2[[#This Row],[!Type]] = "id", "rg:None","rg:True"),"rg:None")</f>
        <v>rg:None</v>
      </c>
    </row>
    <row r="284" spans="1:25" x14ac:dyDescent="0.3">
      <c r="A284" s="5" t="s">
        <v>28</v>
      </c>
      <c r="B284" s="5" t="s">
        <v>7</v>
      </c>
      <c r="C284" s="5">
        <v>150</v>
      </c>
      <c r="D284" s="5" t="s">
        <v>15</v>
      </c>
      <c r="E284" s="76" t="s">
        <v>404</v>
      </c>
      <c r="F284" s="5" t="s">
        <v>5</v>
      </c>
      <c r="G284" s="41" t="s">
        <v>62</v>
      </c>
      <c r="H284" s="41"/>
      <c r="I284" s="5" t="str">
        <f t="shared" si="29"/>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string</v>
      </c>
      <c r="S284" s="5" t="str">
        <f>IF(Table2[[#This Row],[!Type]]=S$1, S$1,"rg:None")</f>
        <v>rg:None</v>
      </c>
      <c r="T284" s="8">
        <f>IF(LEN(Table2[[#This Row],[!Length]]) &gt; 0, Table2[[#This Row],[!Length]], "rg:None")</f>
        <v>150</v>
      </c>
      <c r="U284" s="8" t="str">
        <f>IF(LEN(Table2[[#This Row],[!Name]]) &gt; 0, Table2[[#This Row],[!Name]], "rg:None")</f>
        <v>name</v>
      </c>
      <c r="V284" s="8" t="str">
        <f>IF(LEN(Table2[[#This Row],[!Description]]) &gt; 0, Table2[[#This Row],[!Description]], "rg:None")</f>
        <v>The name of a Minsitry Region.</v>
      </c>
      <c r="W284" s="8" t="str">
        <f>IF(LEN(Table2[[#This Row],[!FK]])&gt;0,Table2[[#This Row],[!FK]],"rg:None")</f>
        <v>rg:None</v>
      </c>
      <c r="X284" s="8" t="str">
        <f>IF(LEN(concatif2(A:A,Table2[[#This Row],[!Table]],G:G,"Y",D:D,",")) &gt; 0,"rg:[ { 'req' : '"&amp;concatif2(A:A,Table2[[#This Row],[!Table]],G:G,"Y",D:D,"' }, { 'req': '")&amp;"'} ]","rg:[]")</f>
        <v>rg:[ { 'req' : 'id' }, { 'req': 'ministryRegionID' }, { 'req': 'name' }, { 'req': 'startDate'} ]</v>
      </c>
      <c r="Y284" s="8" t="str">
        <f>IF(LEN(Table2[[#This Row],[!Unique]])&gt;0,IF(Table2[[#This Row],[!Type]] = "id", "rg:None","rg:True"),"rg:None")</f>
        <v>rg:None</v>
      </c>
    </row>
    <row r="285" spans="1:25" ht="28.8" x14ac:dyDescent="0.3">
      <c r="A285" s="5" t="s">
        <v>28</v>
      </c>
      <c r="B285" s="5" t="s">
        <v>12</v>
      </c>
      <c r="D285" s="5" t="s">
        <v>30</v>
      </c>
      <c r="E285" s="76" t="s">
        <v>410</v>
      </c>
      <c r="F285" s="5" t="s">
        <v>5</v>
      </c>
      <c r="G285" s="63" t="s">
        <v>62</v>
      </c>
      <c r="H285" s="4"/>
      <c r="I285" s="5" t="str">
        <f t="shared" si="29"/>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'ministryRegionID' }, { 'req': 'name' }, { 'req': 'startDate'} ]</v>
      </c>
      <c r="Y285" s="8" t="str">
        <f>IF(LEN(Table2[[#This Row],[!Unique]])&gt;0,IF(Table2[[#This Row],[!Type]] = "id", "rg:None","rg:True"),"rg:None")</f>
        <v>rg:None</v>
      </c>
    </row>
    <row r="286" spans="1:25" ht="28.8" x14ac:dyDescent="0.3">
      <c r="A286" s="5" t="s">
        <v>28</v>
      </c>
      <c r="B286" s="5" t="s">
        <v>12</v>
      </c>
      <c r="D286" s="5" t="s">
        <v>31</v>
      </c>
      <c r="E286" s="76" t="s">
        <v>411</v>
      </c>
      <c r="F286" s="5" t="s">
        <v>5</v>
      </c>
      <c r="G286" s="4"/>
      <c r="H286" s="4"/>
      <c r="I286" s="5" t="str">
        <f t="shared" si="29"/>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'ministryRegionID' }, { 'req': 'name' }, { 'req': 'startDate'} ]</v>
      </c>
      <c r="Y286" s="8" t="str">
        <f>IF(LEN(Table2[[#This Row],[!Unique]])&gt;0,IF(Table2[[#This Row],[!Type]] = "id", "rg:None","rg:True"),"rg:None")</f>
        <v>rg:None</v>
      </c>
    </row>
    <row r="287" spans="1:25" x14ac:dyDescent="0.3">
      <c r="A287" s="5" t="s">
        <v>32</v>
      </c>
      <c r="B287" s="5" t="s">
        <v>4</v>
      </c>
      <c r="D287" s="5" t="s">
        <v>32</v>
      </c>
      <c r="E287" s="76" t="s">
        <v>405</v>
      </c>
      <c r="F287" s="5" t="s">
        <v>5</v>
      </c>
      <c r="G287" s="4"/>
      <c r="H287" s="4"/>
      <c r="I287" s="5" t="str">
        <f t="shared" si="29"/>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District</v>
      </c>
      <c r="V287" s="8" t="str">
        <f>IF(LEN(Table2[[#This Row],[!Description]]) &gt; 0, Table2[[#This Row],[!Description]], "rg:None")</f>
        <v>The Ministry of Transportion and Infrastructure DISTRICT</v>
      </c>
      <c r="W287" s="8" t="str">
        <f>IF(LEN(Table2[[#This Row],[!FK]])&gt;0,Table2[[#This Row],[!FK]],"rg:None")</f>
        <v>rg:None</v>
      </c>
      <c r="X287" s="8" t="str">
        <f>IF(LEN(concatif2(A:A,Table2[[#This Row],[!Table]],G:G,"Y",D:D,",")) &gt; 0,"rg:[ { 'req' : '"&amp;concatif2(A:A,Table2[[#This Row],[!Table]],G:G,"Y",D:D,"' }, { 'req': '")&amp;"'} ]","rg:[]")</f>
        <v>rg:[ { 'req' : 'id' }, { 'req': 'ministryDistrictID' }, { 'req': 'name' }, { 'req': 'region' }, { 'req': 'startDate'} ]</v>
      </c>
      <c r="Y287" s="8" t="str">
        <f>IF(LEN(Table2[[#This Row],[!Unique]])&gt;0,IF(Table2[[#This Row],[!Type]] = "id", "rg:None","rg:True"),"rg:None")</f>
        <v>rg:None</v>
      </c>
    </row>
    <row r="288" spans="1:25" x14ac:dyDescent="0.3">
      <c r="A288" s="5" t="s">
        <v>32</v>
      </c>
      <c r="B288" s="5" t="s">
        <v>6</v>
      </c>
      <c r="D288" s="5" t="s">
        <v>6</v>
      </c>
      <c r="E288" s="54" t="s">
        <v>318</v>
      </c>
      <c r="F288" s="5" t="s">
        <v>5</v>
      </c>
      <c r="G288" s="4" t="s">
        <v>62</v>
      </c>
      <c r="H288" s="158" t="s">
        <v>62</v>
      </c>
      <c r="I288" s="5" t="str">
        <f t="shared" si="29"/>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District</v>
      </c>
      <c r="W288" s="8" t="str">
        <f>IF(LEN(Table2[[#This Row],[!FK]])&gt;0,Table2[[#This Row],[!FK]],"rg:None")</f>
        <v>rg:None</v>
      </c>
      <c r="X288" s="8" t="str">
        <f>IF(LEN(concatif2(A:A,Table2[[#This Row],[!Table]],G:G,"Y",D:D,",")) &gt; 0,"rg:[ { 'req' : '"&amp;concatif2(A:A,Table2[[#This Row],[!Table]],G:G,"Y",D:D,"' }, { 'req': '")&amp;"'} ]","rg:[]")</f>
        <v>rg:[ { 'req' : 'id' }, { 'req': 'ministryDistrictID' }, { 'req': 'name' }, { 'req': 'region' }, { 'req': 'startDate'} ]</v>
      </c>
      <c r="Y288" s="8" t="str">
        <f>IF(LEN(Table2[[#This Row],[!Unique]])&gt;0,IF(Table2[[#This Row],[!Type]] = "id", "rg:None","rg:True"),"rg:None")</f>
        <v>rg:None</v>
      </c>
    </row>
    <row r="289" spans="1:25" x14ac:dyDescent="0.3">
      <c r="A289" s="5" t="s">
        <v>32</v>
      </c>
      <c r="B289" s="5" t="s">
        <v>13</v>
      </c>
      <c r="D289" s="5" t="s">
        <v>33</v>
      </c>
      <c r="E289" s="76" t="s">
        <v>406</v>
      </c>
      <c r="F289" s="5" t="s">
        <v>5</v>
      </c>
      <c r="G289" s="41" t="s">
        <v>62</v>
      </c>
      <c r="H289" s="41"/>
      <c r="I289" s="5" t="str">
        <f t="shared" si="29"/>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integer</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ministryDistrictID</v>
      </c>
      <c r="V289" s="8" t="str">
        <f>IF(LEN(Table2[[#This Row],[!Description]]) &gt; 0, Table2[[#This Row],[!Description]], "rg:None")</f>
        <v>A system generated unique identifier. NOT GENERATED IN THIS SYSTEM.</v>
      </c>
      <c r="W289" s="8" t="str">
        <f>IF(LEN(Table2[[#This Row],[!FK]])&gt;0,Table2[[#This Row],[!FK]],"rg:None")</f>
        <v>rg:None</v>
      </c>
      <c r="X289" s="8" t="str">
        <f>IF(LEN(concatif2(A:A,Table2[[#This Row],[!Table]],G:G,"Y",D:D,",")) &gt; 0,"rg:[ { 'req' : '"&amp;concatif2(A:A,Table2[[#This Row],[!Table]],G:G,"Y",D:D,"' }, { 'req': '")&amp;"'} ]","rg:[]")</f>
        <v>rg:[ { 'req' : 'id' }, { 'req': 'ministryDistrictID' }, { 'req': 'name' }, { 'req': 'region' }, { 'req': 'startDate'} ]</v>
      </c>
      <c r="Y289" s="8" t="str">
        <f>IF(LEN(Table2[[#This Row],[!Unique]])&gt;0,IF(Table2[[#This Row],[!Type]] = "id", "rg:None","rg:True"),"rg:None")</f>
        <v>rg:None</v>
      </c>
    </row>
    <row r="290" spans="1:25" x14ac:dyDescent="0.3">
      <c r="A290" s="5" t="s">
        <v>32</v>
      </c>
      <c r="B290" s="5" t="s">
        <v>7</v>
      </c>
      <c r="C290" s="5">
        <v>150</v>
      </c>
      <c r="D290" s="5" t="s">
        <v>15</v>
      </c>
      <c r="E290" s="76" t="s">
        <v>407</v>
      </c>
      <c r="F290" s="5" t="s">
        <v>5</v>
      </c>
      <c r="G290" s="41" t="s">
        <v>62</v>
      </c>
      <c r="H290" s="41"/>
      <c r="I290" s="5" t="str">
        <f t="shared" si="29"/>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Name of a Ministry District.</v>
      </c>
      <c r="W290" s="8" t="str">
        <f>IF(LEN(Table2[[#This Row],[!FK]])&gt;0,Table2[[#This Row],[!FK]],"rg:None")</f>
        <v>rg:None</v>
      </c>
      <c r="X290" s="8" t="str">
        <f>IF(LEN(concatif2(A:A,Table2[[#This Row],[!Table]],G:G,"Y",D:D,",")) &gt; 0,"rg:[ { 'req' : '"&amp;concatif2(A:A,Table2[[#This Row],[!Table]],G:G,"Y",D:D,"' }, { 'req': '")&amp;"'} ]","rg:[]")</f>
        <v>rg:[ { 'req' : 'id' }, { 'req': 'ministryDistrictID' }, { 'req': 'name' }, { 'req': 'region' }, { 'req': 'startDate'} ]</v>
      </c>
      <c r="Y290" s="8" t="str">
        <f>IF(LEN(Table2[[#This Row],[!Unique]])&gt;0,IF(Table2[[#This Row],[!Type]] = "id", "rg:None","rg:True"),"rg:None")</f>
        <v>rg:None</v>
      </c>
    </row>
    <row r="291" spans="1:25" x14ac:dyDescent="0.3">
      <c r="A291" s="61" t="s">
        <v>32</v>
      </c>
      <c r="B291" s="61" t="s">
        <v>13</v>
      </c>
      <c r="C291" s="72"/>
      <c r="D291" s="61" t="s">
        <v>408</v>
      </c>
      <c r="E291" s="47" t="s">
        <v>409</v>
      </c>
      <c r="F291" s="12"/>
      <c r="G291" s="18"/>
      <c r="H291" s="18"/>
      <c r="I291" s="4" t="str">
        <f>IF(LEN(A291) &gt; 0,"Defs","-")</f>
        <v>Defs</v>
      </c>
      <c r="J291" s="14" t="str">
        <f>IF(Table2[[#This Row],[!Type]]=J$1, J$1,"rg:None")</f>
        <v>rg:None</v>
      </c>
      <c r="K291" s="14" t="str">
        <f>IF(Table2[[#This Row],[!Type]]=K$1, K$1,"rg:None")</f>
        <v>rg:None</v>
      </c>
      <c r="L291" s="14" t="str">
        <f>IF(Table2[[#This Row],[!Type]]=L$1, L$1,"rg:None")</f>
        <v>rg:None</v>
      </c>
      <c r="M291" s="14" t="str">
        <f>IF(Table2[[#This Row],[!Type]]=M$1, M$1,"rg:None")</f>
        <v>rg:None</v>
      </c>
      <c r="N291" s="14" t="str">
        <f>IF(Table2[[#This Row],[!Type]]=N$1, N$1,"rg:None")</f>
        <v>integer</v>
      </c>
      <c r="O291" s="14" t="str">
        <f>IF(Table2[[#This Row],[!Type]]=O$1, O$1,"rg:None")</f>
        <v>rg:None</v>
      </c>
      <c r="P291" s="4" t="str">
        <f>IF(Table2[[#This Row],[!Type]]=P$1, P$1,"rg:None")</f>
        <v>rg:None</v>
      </c>
      <c r="Q291" s="4" t="str">
        <f>IF(Table2[[#This Row],[!Type]]=Q$1, Q$1,"rg:None")</f>
        <v>rg:None</v>
      </c>
      <c r="R291" s="4" t="str">
        <f>IF(Table2[[#This Row],[!Type]]=R$1, R$1,"rg:None")</f>
        <v>rg:None</v>
      </c>
      <c r="S291" s="4" t="str">
        <f>IF(Table2[[#This Row],[!Type]]=S$1, S$1,"rg:None")</f>
        <v>rg:None</v>
      </c>
      <c r="T291" s="14" t="str">
        <f>IF(LEN(Table2[[#This Row],[!Length]]) &gt; 0, Table2[[#This Row],[!Length]], "rg:None")</f>
        <v>rg:None</v>
      </c>
      <c r="U291" s="14" t="str">
        <f>IF(LEN(Table2[[#This Row],[!Name]]) &gt; 0, Table2[[#This Row],[!Name]], "rg:None")</f>
        <v>districtNumber</v>
      </c>
      <c r="V291" s="14" t="str">
        <f>IF(LEN(Table2[[#This Row],[!Description]]) &gt; 0, Table2[[#This Row],[!Description]], "rg:None")</f>
        <v>A number that uniquely defines a Ministry District.</v>
      </c>
      <c r="W291" s="14" t="str">
        <f>IF(LEN(Table2[[#This Row],[!FK]])&gt;0,Table2[[#This Row],[!FK]],"rg:None")</f>
        <v>rg:None</v>
      </c>
      <c r="X291" s="14" t="str">
        <f>IF(LEN(concatif2(A:A,Table2[[#This Row],[!Table]],G:G,"Y",D:D,",")) &gt; 0,"rg:[ { 'req' : '"&amp;concatif2(A:A,Table2[[#This Row],[!Table]],G:G,"Y",D:D,"' }, { 'req': '")&amp;"'} ]","rg:[]")</f>
        <v>rg:[ { 'req' : 'id' }, { 'req': 'ministryDistrictID' }, { 'req': 'name' }, { 'req': 'region' }, { 'req': 'startDate'} ]</v>
      </c>
      <c r="Y291" s="14" t="str">
        <f>IF(LEN(Table2[[#This Row],[!Unique]])&gt;0,IF(Table2[[#This Row],[!Type]] = "id", "rg:None","rg:True"),"rg:None")</f>
        <v>rg:None</v>
      </c>
    </row>
    <row r="292" spans="1:25" x14ac:dyDescent="0.3">
      <c r="A292" s="5" t="s">
        <v>32</v>
      </c>
      <c r="B292" s="5" t="s">
        <v>8</v>
      </c>
      <c r="D292" s="5" t="s">
        <v>34</v>
      </c>
      <c r="E292" s="54" t="s">
        <v>35</v>
      </c>
      <c r="F292" s="5" t="s">
        <v>28</v>
      </c>
      <c r="G292" s="63" t="s">
        <v>62</v>
      </c>
      <c r="H292" s="4"/>
      <c r="I292" s="5" t="str">
        <f t="shared" si="29"/>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region</v>
      </c>
      <c r="V292" s="8" t="str">
        <f>IF(LEN(Table2[[#This Row],[!Description]]) &gt; 0, Table2[[#This Row],[!Description]], "rg:None")</f>
        <v>The region in which the District is found.</v>
      </c>
      <c r="W292" s="8" t="str">
        <f>IF(LEN(Table2[[#This Row],[!FK]])&gt;0,Table2[[#This Row],[!FK]],"rg:None")</f>
        <v>Region</v>
      </c>
      <c r="X292" s="8" t="str">
        <f>IF(LEN(concatif2(A:A,Table2[[#This Row],[!Table]],G:G,"Y",D:D,",")) &gt; 0,"rg:[ { 'req' : '"&amp;concatif2(A:A,Table2[[#This Row],[!Table]],G:G,"Y",D:D,"' }, { 'req': '")&amp;"'} ]","rg:[]")</f>
        <v>rg:[ { 'req' : 'id' }, { 'req': 'ministryDistrictID' }, { 'req': 'name' }, { 'req': 'region' }, { 'req': 'startDate'} ]</v>
      </c>
      <c r="Y292" s="8" t="str">
        <f>IF(LEN(Table2[[#This Row],[!Unique]])&gt;0,IF(Table2[[#This Row],[!Type]] = "id", "rg:None","rg:True"),"rg:None")</f>
        <v>rg:None</v>
      </c>
    </row>
    <row r="293" spans="1:25" ht="28.8" x14ac:dyDescent="0.3">
      <c r="A293" s="5" t="s">
        <v>32</v>
      </c>
      <c r="B293" s="5" t="s">
        <v>12</v>
      </c>
      <c r="D293" s="5" t="s">
        <v>30</v>
      </c>
      <c r="E293" s="76" t="s">
        <v>410</v>
      </c>
      <c r="F293" s="5" t="s">
        <v>5</v>
      </c>
      <c r="G293" s="63" t="s">
        <v>62</v>
      </c>
      <c r="H293" s="4"/>
      <c r="I293" s="5" t="str">
        <f t="shared" si="29"/>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startDate</v>
      </c>
      <c r="V293" s="8" t="str">
        <f>IF(LEN(Table2[[#This Row],[!Description]]) &gt; 0, Table2[[#This Row],[!Description]], "rg:None")</f>
        <v>The DATE the business information came into effect. - NOT CURRENTLY ENFORCED IN THIS SYSTEM</v>
      </c>
      <c r="W293" s="8" t="str">
        <f>IF(LEN(Table2[[#This Row],[!FK]])&gt;0,Table2[[#This Row],[!FK]],"rg:None")</f>
        <v>rg:None</v>
      </c>
      <c r="X293" s="8" t="str">
        <f>IF(LEN(concatif2(A:A,Table2[[#This Row],[!Table]],G:G,"Y",D:D,",")) &gt; 0,"rg:[ { 'req' : '"&amp;concatif2(A:A,Table2[[#This Row],[!Table]],G:G,"Y",D:D,"' }, { 'req': '")&amp;"'} ]","rg:[]")</f>
        <v>rg:[ { 'req' : 'id' }, { 'req': 'ministryDistrictID' }, { 'req': 'name' }, { 'req': 'region' }, { 'req': 'startDate'} ]</v>
      </c>
      <c r="Y293" s="8" t="str">
        <f>IF(LEN(Table2[[#This Row],[!Unique]])&gt;0,IF(Table2[[#This Row],[!Type]] = "id", "rg:None","rg:True"),"rg:None")</f>
        <v>rg:None</v>
      </c>
    </row>
    <row r="294" spans="1:25" ht="28.8" x14ac:dyDescent="0.3">
      <c r="A294" s="5" t="s">
        <v>32</v>
      </c>
      <c r="B294" s="5" t="s">
        <v>12</v>
      </c>
      <c r="D294" s="5" t="s">
        <v>31</v>
      </c>
      <c r="E294" s="76" t="s">
        <v>411</v>
      </c>
      <c r="F294" s="5" t="s">
        <v>5</v>
      </c>
      <c r="G294" s="4"/>
      <c r="H294" s="4"/>
      <c r="I294" s="5" t="str">
        <f t="shared" si="29"/>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endDate</v>
      </c>
      <c r="V294" s="8" t="str">
        <f>IF(LEN(Table2[[#This Row],[!Description]]) &gt; 0, Table2[[#This Row],[!Description]], "rg:None")</f>
        <v>The DATE the business information ceased to be in effect. - NOT CURRENTLY ENFORCED IN THIS SYSTEM</v>
      </c>
      <c r="W294" s="8" t="str">
        <f>IF(LEN(Table2[[#This Row],[!FK]])&gt;0,Table2[[#This Row],[!FK]],"rg:None")</f>
        <v>rg:None</v>
      </c>
      <c r="X294" s="8" t="str">
        <f>IF(LEN(concatif2(A:A,Table2[[#This Row],[!Table]],G:G,"Y",D:D,",")) &gt; 0,"rg:[ { 'req' : '"&amp;concatif2(A:A,Table2[[#This Row],[!Table]],G:G,"Y",D:D,"' }, { 'req': '")&amp;"'} ]","rg:[]")</f>
        <v>rg:[ { 'req' : 'id' }, { 'req': 'ministryDistrictID' }, { 'req': 'name' }, { 'req': 'region' }, { 'req': 'startDate'} ]</v>
      </c>
      <c r="Y294" s="8" t="str">
        <f>IF(LEN(Table2[[#This Row],[!Unique]])&gt;0,IF(Table2[[#This Row],[!Type]] = "id", "rg:None","rg:True"),"rg:None")</f>
        <v>rg:None</v>
      </c>
    </row>
    <row r="295" spans="1:25" x14ac:dyDescent="0.3">
      <c r="A295" s="5" t="s">
        <v>10</v>
      </c>
      <c r="B295" s="5" t="s">
        <v>4</v>
      </c>
      <c r="D295" s="5" t="s">
        <v>10</v>
      </c>
      <c r="E295" s="54" t="s">
        <v>415</v>
      </c>
      <c r="F295" s="5" t="s">
        <v>5</v>
      </c>
      <c r="G295" s="4"/>
      <c r="H295" s="4"/>
      <c r="I295" s="5" t="str">
        <f t="shared" si="29"/>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8" t="str">
        <f>IF(LEN(Table2[[#This Row],[!Length]]) &gt; 0, Table2[[#This Row],[!Length]], "rg:None")</f>
        <v>rg:None</v>
      </c>
      <c r="U295" s="8" t="str">
        <f>IF(LEN(Table2[[#This Row],[!Name]]) &gt; 0, Table2[[#This Row],[!Name]], "rg:None")</f>
        <v>ServiceArea</v>
      </c>
      <c r="V295" s="8" t="str">
        <f>IF(LEN(Table2[[#This Row],[!Description]]) &gt; 0, Table2[[#This Row],[!Description]], "rg:None")</f>
        <v>The Ministry of Transportation and Infrastructure SERVICE AREA.</v>
      </c>
      <c r="W295" s="8" t="str">
        <f>IF(LEN(Table2[[#This Row],[!FK]])&gt;0,Table2[[#This Row],[!FK]],"rg:None")</f>
        <v>rg:None</v>
      </c>
      <c r="X295" s="8" t="str">
        <f>IF(LEN(concatif2(A:A,Table2[[#This Row],[!Table]],G:G,"Y",D:D,",")) &gt; 0,"rg:[ { 'req' : '"&amp;concatif2(A:A,Table2[[#This Row],[!Table]],G:G,"Y",D:D,"' }, { 'req': '")&amp;"'} ]","rg:[]")</f>
        <v>rg:[ { 'req' : 'id' }, { 'req': 'ministryServiceAreaID' }, { 'req': 'name' }, { 'req': 'district' }, { 'req': 'startDate'} ]</v>
      </c>
      <c r="Y295" s="8" t="str">
        <f>IF(LEN(Table2[[#This Row],[!Unique]])&gt;0,IF(Table2[[#This Row],[!Type]] = "id", "rg:None","rg:True"),"rg:None")</f>
        <v>rg:None</v>
      </c>
    </row>
    <row r="296" spans="1:25" x14ac:dyDescent="0.3">
      <c r="A296" s="5" t="s">
        <v>10</v>
      </c>
      <c r="B296" s="5" t="s">
        <v>6</v>
      </c>
      <c r="D296" s="5" t="s">
        <v>6</v>
      </c>
      <c r="E296" s="54" t="s">
        <v>319</v>
      </c>
      <c r="F296" s="5" t="s">
        <v>5</v>
      </c>
      <c r="G296" s="4" t="s">
        <v>62</v>
      </c>
      <c r="H296" s="41" t="s">
        <v>62</v>
      </c>
      <c r="I296" s="5" t="str">
        <f t="shared" si="29"/>
        <v>Defs</v>
      </c>
      <c r="J296" s="8" t="str">
        <f>IF(Table2[[#This Row],[!Type]]=J$1, J$1,"rg:None")</f>
        <v>rg:None</v>
      </c>
      <c r="K296" s="8" t="str">
        <f>IF(Table2[[#This Row],[!Type]]=K$1, K$1,"rg:None")</f>
        <v>rg:None</v>
      </c>
      <c r="L296" s="8" t="str">
        <f>IF(Table2[[#This Row],[!Type]]=L$1, L$1,"rg:None")</f>
        <v>rg:None</v>
      </c>
      <c r="M296" s="8" t="str">
        <f>IF(Table2[[#This Row],[!Type]]=M$1, M$1,"rg:None")</f>
        <v>id</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id</v>
      </c>
      <c r="V296" s="8" t="str">
        <f>IF(LEN(Table2[[#This Row],[!Description]]) &gt; 0, Table2[[#This Row],[!Description]], "rg:None")</f>
        <v>A system-generated unique identifier for a ServiceArea</v>
      </c>
      <c r="W296" s="8" t="str">
        <f>IF(LEN(Table2[[#This Row],[!FK]])&gt;0,Table2[[#This Row],[!FK]],"rg:None")</f>
        <v>rg:None</v>
      </c>
      <c r="X296" s="8" t="str">
        <f>IF(LEN(concatif2(A:A,Table2[[#This Row],[!Table]],G:G,"Y",D:D,",")) &gt; 0,"rg:[ { 'req' : '"&amp;concatif2(A:A,Table2[[#This Row],[!Table]],G:G,"Y",D:D,"' }, { 'req': '")&amp;"'} ]","rg:[]")</f>
        <v>rg:[ { 'req' : 'id' }, { 'req': 'ministryServiceAreaID' }, { 'req': 'name' }, { 'req': 'district' }, { 'req': 'startDate'} ]</v>
      </c>
      <c r="Y296" s="8" t="str">
        <f>IF(LEN(Table2[[#This Row],[!Unique]])&gt;0,IF(Table2[[#This Row],[!Type]] = "id", "rg:None","rg:True"),"rg:None")</f>
        <v>rg:None</v>
      </c>
    </row>
    <row r="297" spans="1:25" x14ac:dyDescent="0.3">
      <c r="A297" s="5" t="s">
        <v>10</v>
      </c>
      <c r="B297" s="5" t="s">
        <v>13</v>
      </c>
      <c r="D297" s="5" t="s">
        <v>36</v>
      </c>
      <c r="E297" s="76" t="s">
        <v>406</v>
      </c>
      <c r="F297" s="5" t="s">
        <v>5</v>
      </c>
      <c r="G297" s="41" t="s">
        <v>62</v>
      </c>
      <c r="H297" s="41"/>
      <c r="I297" s="5" t="str">
        <f t="shared" si="29"/>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integer</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ministryServiceAreaID</v>
      </c>
      <c r="V297" s="8" t="str">
        <f>IF(LEN(Table2[[#This Row],[!Description]]) &gt; 0, Table2[[#This Row],[!Description]], "rg:None")</f>
        <v>A system generated unique identifier. NOT GENERATED IN THIS SYSTEM.</v>
      </c>
      <c r="W297" s="8" t="str">
        <f>IF(LEN(Table2[[#This Row],[!FK]])&gt;0,Table2[[#This Row],[!FK]],"rg:None")</f>
        <v>rg:None</v>
      </c>
      <c r="X297" s="8" t="str">
        <f>IF(LEN(concatif2(A:A,Table2[[#This Row],[!Table]],G:G,"Y",D:D,",")) &gt; 0,"rg:[ { 'req' : '"&amp;concatif2(A:A,Table2[[#This Row],[!Table]],G:G,"Y",D:D,"' }, { 'req': '")&amp;"'} ]","rg:[]")</f>
        <v>rg:[ { 'req' : 'id' }, { 'req': 'ministryServiceAreaID' }, { 'req': 'name' }, { 'req': 'district' }, { 'req': 'startDate'} ]</v>
      </c>
      <c r="Y297" s="8" t="str">
        <f>IF(LEN(Table2[[#This Row],[!Unique]])&gt;0,IF(Table2[[#This Row],[!Type]] = "id", "rg:None","rg:True"),"rg:None")</f>
        <v>rg:None</v>
      </c>
    </row>
    <row r="298" spans="1:25" x14ac:dyDescent="0.3">
      <c r="A298" s="61" t="s">
        <v>10</v>
      </c>
      <c r="B298" s="61" t="s">
        <v>13</v>
      </c>
      <c r="C298" s="72"/>
      <c r="D298" s="61" t="s">
        <v>413</v>
      </c>
      <c r="E298" s="47" t="s">
        <v>414</v>
      </c>
      <c r="F298" s="12"/>
      <c r="G298" s="18"/>
      <c r="H298" s="18"/>
      <c r="I298" s="4" t="str">
        <f>IF(LEN(A298) &gt; 0,"Defs","-")</f>
        <v>Defs</v>
      </c>
      <c r="J298" s="14" t="str">
        <f>IF(Table2[[#This Row],[!Type]]=J$1, J$1,"rg:None")</f>
        <v>rg:None</v>
      </c>
      <c r="K298" s="14" t="str">
        <f>IF(Table2[[#This Row],[!Type]]=K$1, K$1,"rg:None")</f>
        <v>rg:None</v>
      </c>
      <c r="L298" s="14" t="str">
        <f>IF(Table2[[#This Row],[!Type]]=L$1, L$1,"rg:None")</f>
        <v>rg:None</v>
      </c>
      <c r="M298" s="14" t="str">
        <f>IF(Table2[[#This Row],[!Type]]=M$1, M$1,"rg:None")</f>
        <v>rg:None</v>
      </c>
      <c r="N298" s="14" t="str">
        <f>IF(Table2[[#This Row],[!Type]]=N$1, N$1,"rg:None")</f>
        <v>integer</v>
      </c>
      <c r="O298" s="14" t="str">
        <f>IF(Table2[[#This Row],[!Type]]=O$1, O$1,"rg:None")</f>
        <v>rg:None</v>
      </c>
      <c r="P298" s="4" t="str">
        <f>IF(Table2[[#This Row],[!Type]]=P$1, P$1,"rg:None")</f>
        <v>rg:None</v>
      </c>
      <c r="Q298" s="4" t="str">
        <f>IF(Table2[[#This Row],[!Type]]=Q$1, Q$1,"rg:None")</f>
        <v>rg:None</v>
      </c>
      <c r="R298" s="4" t="str">
        <f>IF(Table2[[#This Row],[!Type]]=R$1, R$1,"rg:None")</f>
        <v>rg:None</v>
      </c>
      <c r="S298" s="4" t="str">
        <f>IF(Table2[[#This Row],[!Type]]=S$1, S$1,"rg:None")</f>
        <v>rg:None</v>
      </c>
      <c r="T298" s="14" t="str">
        <f>IF(LEN(Table2[[#This Row],[!Length]]) &gt; 0, Table2[[#This Row],[!Length]], "rg:None")</f>
        <v>rg:None</v>
      </c>
      <c r="U298" s="14" t="str">
        <f>IF(LEN(Table2[[#This Row],[!Name]]) &gt; 0, Table2[[#This Row],[!Name]], "rg:None")</f>
        <v>areaNumber</v>
      </c>
      <c r="V298" s="14" t="str">
        <f>IF(LEN(Table2[[#This Row],[!Description]]) &gt; 0, Table2[[#This Row],[!Description]], "rg:None")</f>
        <v>A number that uniquely defines a Ministry Service Area.</v>
      </c>
      <c r="W298" s="14" t="str">
        <f>IF(LEN(Table2[[#This Row],[!FK]])&gt;0,Table2[[#This Row],[!FK]],"rg:None")</f>
        <v>rg:None</v>
      </c>
      <c r="X298" s="14" t="str">
        <f>IF(LEN(concatif2(A:A,Table2[[#This Row],[!Table]],G:G,"Y",D:D,",")) &gt; 0,"rg:[ { 'req' : '"&amp;concatif2(A:A,Table2[[#This Row],[!Table]],G:G,"Y",D:D,"' }, { 'req': '")&amp;"'} ]","rg:[]")</f>
        <v>rg:[ { 'req' : 'id' }, { 'req': 'ministryServiceAreaID' }, { 'req': 'name' }, { 'req': 'district' }, { 'req': 'startDate'} ]</v>
      </c>
      <c r="Y298" s="14" t="str">
        <f>IF(LEN(Table2[[#This Row],[!Unique]])&gt;0,IF(Table2[[#This Row],[!Type]] = "id", "rg:None","rg:True"),"rg:None")</f>
        <v>rg:None</v>
      </c>
    </row>
    <row r="299" spans="1:25" x14ac:dyDescent="0.3">
      <c r="A299" s="5" t="s">
        <v>10</v>
      </c>
      <c r="B299" s="5" t="s">
        <v>7</v>
      </c>
      <c r="C299" s="5">
        <v>150</v>
      </c>
      <c r="D299" s="5" t="s">
        <v>15</v>
      </c>
      <c r="E299" s="76" t="s">
        <v>412</v>
      </c>
      <c r="F299" s="5" t="s">
        <v>5</v>
      </c>
      <c r="G299" s="41" t="s">
        <v>62</v>
      </c>
      <c r="H299" s="41"/>
      <c r="I299" s="5" t="str">
        <f t="shared" si="29"/>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150</v>
      </c>
      <c r="U299" s="8" t="str">
        <f>IF(LEN(Table2[[#This Row],[!Name]]) &gt; 0, Table2[[#This Row],[!Name]], "rg:None")</f>
        <v>name</v>
      </c>
      <c r="V299" s="8" t="str">
        <f>IF(LEN(Table2[[#This Row],[!Description]]) &gt; 0, Table2[[#This Row],[!Description]], "rg:None")</f>
        <v>The Name of a Ministry Service Area.</v>
      </c>
      <c r="W299" s="8" t="str">
        <f>IF(LEN(Table2[[#This Row],[!FK]])&gt;0,Table2[[#This Row],[!FK]],"rg:None")</f>
        <v>rg:None</v>
      </c>
      <c r="X299" s="8" t="str">
        <f>IF(LEN(concatif2(A:A,Table2[[#This Row],[!Table]],G:G,"Y",D:D,",")) &gt; 0,"rg:[ { 'req' : '"&amp;concatif2(A:A,Table2[[#This Row],[!Table]],G:G,"Y",D:D,"' }, { 'req': '")&amp;"'} ]","rg:[]")</f>
        <v>rg:[ { 'req' : 'id' }, { 'req': 'ministryServiceAreaID' }, { 'req': 'name' }, { 'req': 'district' }, { 'req': 'startDate'} ]</v>
      </c>
      <c r="Y299" s="8" t="str">
        <f>IF(LEN(Table2[[#This Row],[!Unique]])&gt;0,IF(Table2[[#This Row],[!Type]] = "id", "rg:None","rg:True"),"rg:None")</f>
        <v>rg:None</v>
      </c>
    </row>
    <row r="300" spans="1:25" x14ac:dyDescent="0.3">
      <c r="A300" s="5" t="s">
        <v>10</v>
      </c>
      <c r="B300" s="5" t="s">
        <v>8</v>
      </c>
      <c r="D300" s="5" t="s">
        <v>37</v>
      </c>
      <c r="E300" s="54" t="s">
        <v>38</v>
      </c>
      <c r="F300" s="5" t="s">
        <v>32</v>
      </c>
      <c r="G300" s="63" t="s">
        <v>62</v>
      </c>
      <c r="H300" s="4"/>
      <c r="I300" s="5" t="str">
        <f t="shared" si="29"/>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district</v>
      </c>
      <c r="V300" s="8" t="str">
        <f>IF(LEN(Table2[[#This Row],[!Description]]) &gt; 0, Table2[[#This Row],[!Description]], "rg:None")</f>
        <v>The district in which the Service Area is found.</v>
      </c>
      <c r="W300" s="8" t="str">
        <f>IF(LEN(Table2[[#This Row],[!FK]])&gt;0,Table2[[#This Row],[!FK]],"rg:None")</f>
        <v>District</v>
      </c>
      <c r="X300" s="8" t="str">
        <f>IF(LEN(concatif2(A:A,Table2[[#This Row],[!Table]],G:G,"Y",D:D,",")) &gt; 0,"rg:[ { 'req' : '"&amp;concatif2(A:A,Table2[[#This Row],[!Table]],G:G,"Y",D:D,"' }, { 'req': '")&amp;"'} ]","rg:[]")</f>
        <v>rg:[ { 'req' : 'id' }, { 'req': 'ministryServiceAreaID' }, { 'req': 'name' }, { 'req': 'district' }, { 'req': 'startDate'} ]</v>
      </c>
      <c r="Y300" s="8" t="str">
        <f>IF(LEN(Table2[[#This Row],[!Unique]])&gt;0,IF(Table2[[#This Row],[!Type]] = "id", "rg:None","rg:True"),"rg:None")</f>
        <v>rg:None</v>
      </c>
    </row>
    <row r="301" spans="1:25" ht="28.8" x14ac:dyDescent="0.3">
      <c r="A301" s="5" t="s">
        <v>10</v>
      </c>
      <c r="B301" s="5" t="s">
        <v>12</v>
      </c>
      <c r="D301" s="5" t="s">
        <v>30</v>
      </c>
      <c r="E301" s="76" t="s">
        <v>410</v>
      </c>
      <c r="F301" s="5" t="s">
        <v>5</v>
      </c>
      <c r="G301" s="63" t="s">
        <v>62</v>
      </c>
      <c r="H301" s="4"/>
      <c r="I301" s="5" t="str">
        <f t="shared" si="29"/>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startDate</v>
      </c>
      <c r="V301" s="8" t="str">
        <f>IF(LEN(Table2[[#This Row],[!Description]]) &gt; 0, Table2[[#This Row],[!Description]], "rg:None")</f>
        <v>The DATE the business information came into effect. - NOT CURRENTLY ENFORCED IN THIS SYSTEM</v>
      </c>
      <c r="W301" s="8" t="str">
        <f>IF(LEN(Table2[[#This Row],[!FK]])&gt;0,Table2[[#This Row],[!FK]],"rg:None")</f>
        <v>rg:None</v>
      </c>
      <c r="X301" s="8" t="str">
        <f>IF(LEN(concatif2(A:A,Table2[[#This Row],[!Table]],G:G,"Y",D:D,",")) &gt; 0,"rg:[ { 'req' : '"&amp;concatif2(A:A,Table2[[#This Row],[!Table]],G:G,"Y",D:D,"' }, { 'req': '")&amp;"'} ]","rg:[]")</f>
        <v>rg:[ { 'req' : 'id' }, { 'req': 'ministryServiceAreaID' }, { 'req': 'name' }, { 'req': 'district' }, { 'req': 'startDate'} ]</v>
      </c>
      <c r="Y301" s="8" t="str">
        <f>IF(LEN(Table2[[#This Row],[!Unique]])&gt;0,IF(Table2[[#This Row],[!Type]] = "id", "rg:None","rg:True"),"rg:None")</f>
        <v>rg:None</v>
      </c>
    </row>
    <row r="302" spans="1:25" ht="28.8" x14ac:dyDescent="0.3">
      <c r="A302" s="5" t="s">
        <v>10</v>
      </c>
      <c r="B302" s="5" t="s">
        <v>12</v>
      </c>
      <c r="D302" s="5" t="s">
        <v>31</v>
      </c>
      <c r="E302" s="76" t="s">
        <v>411</v>
      </c>
      <c r="F302" s="5" t="s">
        <v>5</v>
      </c>
      <c r="G302" s="4"/>
      <c r="H302" s="4"/>
      <c r="I302" s="5" t="str">
        <f t="shared" si="29"/>
        <v>Defs</v>
      </c>
      <c r="J302" s="8" t="str">
        <f>IF(Table2[[#This Row],[!Type]]=J$1, J$1,"rg:None")</f>
        <v>rg:None</v>
      </c>
      <c r="K302" s="8" t="str">
        <f>IF(Table2[[#This Row],[!Type]]=K$1, K$1,"rg:None")</f>
        <v>rg:None</v>
      </c>
      <c r="L302" s="8" t="str">
        <f>IF(Table2[[#This Row],[!Type]]=L$1, L$1,"rg:None")</f>
        <v>datetime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endDate</v>
      </c>
      <c r="V302" s="8" t="str">
        <f>IF(LEN(Table2[[#This Row],[!Description]]) &gt; 0, Table2[[#This Row],[!Description]], "rg:None")</f>
        <v>The DATE the business information ceased to be in effect. - NOT CURRENTLY ENFORCED IN THIS SYSTEM</v>
      </c>
      <c r="W302" s="8" t="str">
        <f>IF(LEN(Table2[[#This Row],[!FK]])&gt;0,Table2[[#This Row],[!FK]],"rg:None")</f>
        <v>rg:None</v>
      </c>
      <c r="X302" s="8" t="str">
        <f>IF(LEN(concatif2(A:A,Table2[[#This Row],[!Table]],G:G,"Y",D:D,",")) &gt; 0,"rg:[ { 'req' : '"&amp;concatif2(A:A,Table2[[#This Row],[!Table]],G:G,"Y",D:D,"' }, { 'req': '")&amp;"'} ]","rg:[]")</f>
        <v>rg:[ { 'req' : 'id' }, { 'req': 'ministryServiceAreaID' }, { 'req': 'name' }, { 'req': 'district' }, { 'req': 'startDate'} ]</v>
      </c>
      <c r="Y302" s="8" t="str">
        <f>IF(LEN(Table2[[#This Row],[!Unique]])&gt;0,IF(Table2[[#This Row],[!Type]] = "id", "rg:None","rg:True"),"rg:None")</f>
        <v>rg:None</v>
      </c>
    </row>
    <row r="303" spans="1:25" x14ac:dyDescent="0.3">
      <c r="A303" s="109" t="s">
        <v>151</v>
      </c>
      <c r="B303" s="5" t="s">
        <v>4</v>
      </c>
      <c r="D303" s="109" t="s">
        <v>151</v>
      </c>
      <c r="E303" s="76" t="s">
        <v>370</v>
      </c>
      <c r="F303" s="5" t="s">
        <v>5</v>
      </c>
      <c r="G303" s="4"/>
      <c r="H303" s="4"/>
      <c r="I303" s="5" t="str">
        <f>IF(LEN(A303) &gt; 0,"Defs","-")</f>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LocalArea</v>
      </c>
      <c r="V303" s="8" t="str">
        <f>IF(LEN(Table2[[#This Row],[!Description]]) &gt; 0, Table2[[#This Row],[!Description]], "rg:None")</f>
        <v>A HETS-application defined area that is within a Service Area.</v>
      </c>
      <c r="W303" s="8" t="str">
        <f>IF(LEN(Table2[[#This Row],[!FK]])&gt;0,Table2[[#This Row],[!FK]],"rg:None")</f>
        <v>rg:None</v>
      </c>
      <c r="X303" s="8" t="str">
        <f>IF(LEN(concatif2(A:A,Table2[[#This Row],[!Table]],G:G,"Y",D:D,",")) &gt; 0,"rg:[ { 'req' : '"&amp;concatif2(A:A,Table2[[#This Row],[!Table]],G:G,"Y",D:D,"' }, { 'req': '")&amp;"'} ]","rg:[]")</f>
        <v>rg:[ { 'req' : 'id' }, { 'req': 'localAreaNumber' }, { 'req': 'name' }, { 'req': 'serviceArea' }, { 'req': 'startDate'} ]</v>
      </c>
      <c r="Y303" s="8" t="str">
        <f>IF(LEN(Table2[[#This Row],[!Unique]])&gt;0,IF(Table2[[#This Row],[!Type]] = "id", "rg:None","rg:True"),"rg:None")</f>
        <v>rg:None</v>
      </c>
    </row>
    <row r="304" spans="1:25" x14ac:dyDescent="0.3">
      <c r="A304" s="109" t="s">
        <v>151</v>
      </c>
      <c r="B304" s="5" t="s">
        <v>6</v>
      </c>
      <c r="D304" s="5" t="s">
        <v>6</v>
      </c>
      <c r="E304" s="54" t="s">
        <v>348</v>
      </c>
      <c r="F304" s="5" t="s">
        <v>5</v>
      </c>
      <c r="G304" s="4" t="s">
        <v>62</v>
      </c>
      <c r="H304" s="158" t="s">
        <v>62</v>
      </c>
      <c r="I304" s="5" t="str">
        <f>IF(LEN(A304) &gt; 0,"Defs","-")</f>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LocalArea</v>
      </c>
      <c r="W304" s="8" t="str">
        <f>IF(LEN(Table2[[#This Row],[!FK]])&gt;0,Table2[[#This Row],[!FK]],"rg:None")</f>
        <v>rg:None</v>
      </c>
      <c r="X304" s="8" t="str">
        <f>IF(LEN(concatif2(A:A,Table2[[#This Row],[!Table]],G:G,"Y",D:D,",")) &gt; 0,"rg:[ { 'req' : '"&amp;concatif2(A:A,Table2[[#This Row],[!Table]],G:G,"Y",D:D,"' }, { 'req': '")&amp;"'} ]","rg:[]")</f>
        <v>rg:[ { 'req' : 'id' }, { 'req': 'localAreaNumber' }, { 'req': 'name' }, { 'req': 'serviceArea' }, { 'req': 'startDate'} ]</v>
      </c>
      <c r="Y304" s="8" t="str">
        <f>IF(LEN(Table2[[#This Row],[!Unique]])&gt;0,IF(Table2[[#This Row],[!Type]] = "id", "rg:None","rg:True"),"rg:None")</f>
        <v>rg:None</v>
      </c>
    </row>
    <row r="305" spans="1:25" x14ac:dyDescent="0.3">
      <c r="A305" s="61" t="s">
        <v>151</v>
      </c>
      <c r="B305" s="61" t="s">
        <v>13</v>
      </c>
      <c r="C305" s="72"/>
      <c r="D305" s="61" t="s">
        <v>417</v>
      </c>
      <c r="E305" s="60" t="s">
        <v>416</v>
      </c>
      <c r="F305" s="12"/>
      <c r="G305" s="157" t="s">
        <v>62</v>
      </c>
      <c r="H305" s="18"/>
      <c r="I305" s="4" t="str">
        <f>IF(LEN(A305) &gt; 0,"Defs","-")</f>
        <v>Defs</v>
      </c>
      <c r="J305" s="14" t="str">
        <f>IF(Table2[[#This Row],[!Type]]=J$1, J$1,"rg:None")</f>
        <v>rg:None</v>
      </c>
      <c r="K305" s="14" t="str">
        <f>IF(Table2[[#This Row],[!Type]]=K$1, K$1,"rg:None")</f>
        <v>rg:None</v>
      </c>
      <c r="L305" s="14" t="str">
        <f>IF(Table2[[#This Row],[!Type]]=L$1, L$1,"rg:None")</f>
        <v>rg:None</v>
      </c>
      <c r="M305" s="14" t="str">
        <f>IF(Table2[[#This Row],[!Type]]=M$1, M$1,"rg:None")</f>
        <v>rg:None</v>
      </c>
      <c r="N305" s="14" t="str">
        <f>IF(Table2[[#This Row],[!Type]]=N$1, N$1,"rg:None")</f>
        <v>integer</v>
      </c>
      <c r="O305" s="14" t="str">
        <f>IF(Table2[[#This Row],[!Type]]=O$1, O$1,"rg:None")</f>
        <v>rg:None</v>
      </c>
      <c r="P305" s="4" t="str">
        <f>IF(Table2[[#This Row],[!Type]]=P$1, P$1,"rg:None")</f>
        <v>rg:None</v>
      </c>
      <c r="Q305" s="4" t="str">
        <f>IF(Table2[[#This Row],[!Type]]=Q$1, Q$1,"rg:None")</f>
        <v>rg:None</v>
      </c>
      <c r="R305" s="4" t="str">
        <f>IF(Table2[[#This Row],[!Type]]=R$1, R$1,"rg:None")</f>
        <v>rg:None</v>
      </c>
      <c r="S305" s="4" t="str">
        <f>IF(Table2[[#This Row],[!Type]]=S$1, S$1,"rg:None")</f>
        <v>rg:None</v>
      </c>
      <c r="T305" s="14" t="str">
        <f>IF(LEN(Table2[[#This Row],[!Length]]) &gt; 0, Table2[[#This Row],[!Length]], "rg:None")</f>
        <v>rg:None</v>
      </c>
      <c r="U305" s="14" t="str">
        <f>IF(LEN(Table2[[#This Row],[!Name]]) &gt; 0, Table2[[#This Row],[!Name]], "rg:None")</f>
        <v>localAreaNumber</v>
      </c>
      <c r="V305" s="14" t="str">
        <f>IF(LEN(Table2[[#This Row],[!Description]]) &gt; 0, Table2[[#This Row],[!Description]], "rg:None")</f>
        <v>A system-generated, visible to the user number for the Local Area</v>
      </c>
      <c r="W305" s="14" t="str">
        <f>IF(LEN(Table2[[#This Row],[!FK]])&gt;0,Table2[[#This Row],[!FK]],"rg:None")</f>
        <v>rg:None</v>
      </c>
      <c r="X305" s="14" t="str">
        <f>IF(LEN(concatif2(A:A,Table2[[#This Row],[!Table]],G:G,"Y",D:D,",")) &gt; 0,"rg:[ { 'req' : '"&amp;concatif2(A:A,Table2[[#This Row],[!Table]],G:G,"Y",D:D,"' }, { 'req': '")&amp;"'} ]","rg:[]")</f>
        <v>rg:[ { 'req' : 'id' }, { 'req': 'localAreaNumber' }, { 'req': 'name' }, { 'req': 'serviceArea' }, { 'req': 'startDate'} ]</v>
      </c>
      <c r="Y305" s="14" t="str">
        <f>IF(LEN(Table2[[#This Row],[!Unique]])&gt;0,IF(Table2[[#This Row],[!Type]] = "id", "rg:None","rg:True"),"rg:None")</f>
        <v>rg:None</v>
      </c>
    </row>
    <row r="306" spans="1:25" x14ac:dyDescent="0.3">
      <c r="A306" s="109" t="s">
        <v>151</v>
      </c>
      <c r="B306" s="5" t="s">
        <v>7</v>
      </c>
      <c r="C306" s="5">
        <v>150</v>
      </c>
      <c r="D306" s="5" t="s">
        <v>15</v>
      </c>
      <c r="E306" s="110" t="s">
        <v>152</v>
      </c>
      <c r="F306" s="5" t="s">
        <v>5</v>
      </c>
      <c r="G306" s="158" t="s">
        <v>62</v>
      </c>
      <c r="H306" s="158" t="s">
        <v>62</v>
      </c>
      <c r="I306" s="5" t="str">
        <f>IF(LEN(A306) &gt; 0,"Defs","-")</f>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150</v>
      </c>
      <c r="U306" s="8" t="str">
        <f>IF(LEN(Table2[[#This Row],[!Name]]) &gt; 0, Table2[[#This Row],[!Name]], "rg:None")</f>
        <v>name</v>
      </c>
      <c r="V306" s="8" t="str">
        <f>IF(LEN(Table2[[#This Row],[!Description]]) &gt; 0, Table2[[#This Row],[!Description]], "rg:None")</f>
        <v>The full name of the Local Area</v>
      </c>
      <c r="W306" s="8" t="str">
        <f>IF(LEN(Table2[[#This Row],[!FK]])&gt;0,Table2[[#This Row],[!FK]],"rg:None")</f>
        <v>rg:None</v>
      </c>
      <c r="X306" s="8" t="str">
        <f>IF(LEN(concatif2(A:A,Table2[[#This Row],[!Table]],G:G,"Y",D:D,",")) &gt; 0,"rg:[ { 'req' : '"&amp;concatif2(A:A,Table2[[#This Row],[!Table]],G:G,"Y",D:D,"' }, { 'req': '")&amp;"'} ]","rg:[]")</f>
        <v>rg:[ { 'req' : 'id' }, { 'req': 'localAreaNumber' }, { 'req': 'name' }, { 'req': 'serviceArea' }, { 'req': 'startDate'} ]</v>
      </c>
      <c r="Y306" s="8" t="str">
        <f>IF(LEN(Table2[[#This Row],[!Unique]])&gt;0,IF(Table2[[#This Row],[!Type]] = "id", "rg:None","rg:True"),"rg:None")</f>
        <v>rg:True</v>
      </c>
    </row>
    <row r="307" spans="1:25" x14ac:dyDescent="0.3">
      <c r="A307" s="109" t="s">
        <v>151</v>
      </c>
      <c r="B307" s="5" t="s">
        <v>8</v>
      </c>
      <c r="D307" s="109" t="s">
        <v>153</v>
      </c>
      <c r="E307" s="110" t="s">
        <v>154</v>
      </c>
      <c r="F307" s="109" t="s">
        <v>10</v>
      </c>
      <c r="G307" s="158" t="s">
        <v>62</v>
      </c>
      <c r="H307" s="4"/>
      <c r="I307" s="5" t="str">
        <f>IF(LEN(A307) &gt; 0,"Defs","-")</f>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ref</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serviceArea</v>
      </c>
      <c r="V307" s="8" t="str">
        <f>IF(LEN(Table2[[#This Row],[!Description]]) &gt; 0, Table2[[#This Row],[!Description]], "rg:None")</f>
        <v>The Service Area in which the Local Area is found.</v>
      </c>
      <c r="W307" s="8" t="str">
        <f>IF(LEN(Table2[[#This Row],[!FK]])&gt;0,Table2[[#This Row],[!FK]],"rg:None")</f>
        <v>ServiceArea</v>
      </c>
      <c r="X307" s="8" t="str">
        <f>IF(LEN(concatif2(A:A,Table2[[#This Row],[!Table]],G:G,"Y",D:D,",")) &gt; 0,"rg:[ { 'req' : '"&amp;concatif2(A:A,Table2[[#This Row],[!Table]],G:G,"Y",D:D,"' }, { 'req': '")&amp;"'} ]","rg:[]")</f>
        <v>rg:[ { 'req' : 'id' }, { 'req': 'localAreaNumber' }, { 'req': 'name' }, { 'req': 'serviceArea' }, { 'req': 'startDate'} ]</v>
      </c>
      <c r="Y307" s="8" t="str">
        <f>IF(LEN(Table2[[#This Row],[!Unique]])&gt;0,IF(Table2[[#This Row],[!Type]] = "id", "rg:None","rg:True"),"rg:None")</f>
        <v>rg:None</v>
      </c>
    </row>
    <row r="308" spans="1:25" ht="28.8" x14ac:dyDescent="0.3">
      <c r="A308" s="61" t="s">
        <v>151</v>
      </c>
      <c r="B308" s="5" t="s">
        <v>12</v>
      </c>
      <c r="D308" s="5" t="s">
        <v>30</v>
      </c>
      <c r="E308" s="76" t="s">
        <v>410</v>
      </c>
      <c r="F308" s="5" t="s">
        <v>5</v>
      </c>
      <c r="G308" s="63" t="s">
        <v>62</v>
      </c>
      <c r="H308" s="4"/>
      <c r="I308" s="5" t="str">
        <f t="shared" ref="I308:I309" si="30">IF(LEN(A308) &gt; 0,"Defs","-")</f>
        <v>Defs</v>
      </c>
      <c r="J308" s="8" t="str">
        <f>IF(Table2[[#This Row],[!Type]]=J$1, J$1,"rg:None")</f>
        <v>rg:None</v>
      </c>
      <c r="K308" s="8" t="str">
        <f>IF(Table2[[#This Row],[!Type]]=K$1, K$1,"rg:None")</f>
        <v>rg:None</v>
      </c>
      <c r="L308" s="8" t="str">
        <f>IF(Table2[[#This Row],[!Type]]=L$1, L$1,"rg:None")</f>
        <v>datetime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startDate</v>
      </c>
      <c r="V308" s="8" t="str">
        <f>IF(LEN(Table2[[#This Row],[!Description]]) &gt; 0, Table2[[#This Row],[!Description]], "rg:None")</f>
        <v>The DATE the business information came into effect. - NOT CURRENTLY ENFORCED IN THIS SYSTEM</v>
      </c>
      <c r="W308" s="8" t="str">
        <f>IF(LEN(Table2[[#This Row],[!FK]])&gt;0,Table2[[#This Row],[!FK]],"rg:None")</f>
        <v>rg:None</v>
      </c>
      <c r="X308" s="8" t="str">
        <f>IF(LEN(concatif2(A:A,Table2[[#This Row],[!Table]],G:G,"Y",D:D,",")) &gt; 0,"rg:[ { 'req' : '"&amp;concatif2(A:A,Table2[[#This Row],[!Table]],G:G,"Y",D:D,"' }, { 'req': '")&amp;"'} ]","rg:[]")</f>
        <v>rg:[ { 'req' : 'id' }, { 'req': 'localAreaNumber' }, { 'req': 'name' }, { 'req': 'serviceArea' }, { 'req': 'startDate'} ]</v>
      </c>
      <c r="Y308" s="8" t="str">
        <f>IF(LEN(Table2[[#This Row],[!Unique]])&gt;0,IF(Table2[[#This Row],[!Type]] = "id", "rg:None","rg:True"),"rg:None")</f>
        <v>rg:None</v>
      </c>
    </row>
    <row r="309" spans="1:25" ht="28.8" x14ac:dyDescent="0.3">
      <c r="A309" s="61" t="s">
        <v>151</v>
      </c>
      <c r="B309" s="5" t="s">
        <v>12</v>
      </c>
      <c r="D309" s="5" t="s">
        <v>31</v>
      </c>
      <c r="E309" s="76" t="s">
        <v>411</v>
      </c>
      <c r="F309" s="5" t="s">
        <v>5</v>
      </c>
      <c r="G309" s="4"/>
      <c r="H309" s="4"/>
      <c r="I309" s="5" t="str">
        <f t="shared" si="30"/>
        <v>Defs</v>
      </c>
      <c r="J309" s="8" t="str">
        <f>IF(Table2[[#This Row],[!Type]]=J$1, J$1,"rg:None")</f>
        <v>rg:None</v>
      </c>
      <c r="K309" s="8" t="str">
        <f>IF(Table2[[#This Row],[!Type]]=K$1, K$1,"rg:None")</f>
        <v>rg:None</v>
      </c>
      <c r="L309" s="8" t="str">
        <f>IF(Table2[[#This Row],[!Type]]=L$1, L$1,"rg:None")</f>
        <v>datetime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endDate</v>
      </c>
      <c r="V309" s="8" t="str">
        <f>IF(LEN(Table2[[#This Row],[!Description]]) &gt; 0, Table2[[#This Row],[!Description]], "rg:None")</f>
        <v>The DATE the business information ceased to be in effect. - NOT CURRENTLY ENFORCED IN THIS SYSTEM</v>
      </c>
      <c r="W309" s="8" t="str">
        <f>IF(LEN(Table2[[#This Row],[!FK]])&gt;0,Table2[[#This Row],[!FK]],"rg:None")</f>
        <v>rg:None</v>
      </c>
      <c r="X309" s="8" t="str">
        <f>IF(LEN(concatif2(A:A,Table2[[#This Row],[!Table]],G:G,"Y",D:D,",")) &gt; 0,"rg:[ { 'req' : '"&amp;concatif2(A:A,Table2[[#This Row],[!Table]],G:G,"Y",D:D,"' }, { 'req': '")&amp;"'} ]","rg:[]")</f>
        <v>rg:[ { 'req' : 'id' }, { 'req': 'localAreaNumber' }, { 'req': 'name' }, { 'req': 'serviceArea' }, { 'req': 'startDate'} ]</v>
      </c>
      <c r="Y309" s="8" t="str">
        <f>IF(LEN(Table2[[#This Row],[!Unique]])&gt;0,IF(Table2[[#This Row],[!Type]] = "id", "rg:None","rg:True"),"rg:None")</f>
        <v>rg:None</v>
      </c>
    </row>
    <row r="310" spans="1:25" x14ac:dyDescent="0.3">
      <c r="A310" s="5" t="s">
        <v>11</v>
      </c>
      <c r="B310" s="5" t="s">
        <v>4</v>
      </c>
      <c r="D310" s="5" t="s">
        <v>11</v>
      </c>
      <c r="E310" s="54" t="s">
        <v>64</v>
      </c>
      <c r="F310" s="5" t="s">
        <v>5</v>
      </c>
      <c r="G310" s="4"/>
      <c r="H310" s="4"/>
      <c r="I310" s="5" t="str">
        <f t="shared" si="29"/>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8" t="str">
        <f>IF(LEN(Table2[[#This Row],[!Length]]) &gt; 0, Table2[[#This Row],[!Length]], "rg:None")</f>
        <v>rg:None</v>
      </c>
      <c r="U310" s="8" t="str">
        <f>IF(LEN(Table2[[#This Row],[!Name]]) &gt; 0, Table2[[#This Row],[!Name]], "rg:None")</f>
        <v>City</v>
      </c>
      <c r="V310" s="8" t="str">
        <f>IF(LEN(Table2[[#This Row],[!Description]]) &gt; 0, Table2[[#This Row],[!Description]], "rg:None")</f>
        <v>A list of cities in BC. Authoritative source to be determined.</v>
      </c>
      <c r="W310" s="8" t="str">
        <f>IF(LEN(Table2[[#This Row],[!FK]])&gt;0,Table2[[#This Row],[!FK]],"rg:None")</f>
        <v>rg:None</v>
      </c>
      <c r="X310" s="8" t="str">
        <f>IF(LEN(concatif2(A:A,Table2[[#This Row],[!Table]],G:G,"Y",D:D,",")) &gt; 0,"rg:[ { 'req' : '"&amp;concatif2(A:A,Table2[[#This Row],[!Table]],G:G,"Y",D:D,"' }, { 'req': '")&amp;"'} ]","rg:[]")</f>
        <v>rg:[ { 'req' : 'id' }, { 'req': 'name'} ]</v>
      </c>
      <c r="Y310" s="8" t="str">
        <f>IF(LEN(Table2[[#This Row],[!Unique]])&gt;0,IF(Table2[[#This Row],[!Type]] = "id", "rg:None","rg:True"),"rg:None")</f>
        <v>rg:None</v>
      </c>
    </row>
    <row r="311" spans="1:25" x14ac:dyDescent="0.3">
      <c r="A311" s="5" t="s">
        <v>11</v>
      </c>
      <c r="B311" s="5" t="s">
        <v>6</v>
      </c>
      <c r="D311" s="5" t="s">
        <v>6</v>
      </c>
      <c r="E311" s="54" t="s">
        <v>320</v>
      </c>
      <c r="F311" s="5" t="s">
        <v>5</v>
      </c>
      <c r="G311" s="4" t="s">
        <v>62</v>
      </c>
      <c r="H311" s="158" t="s">
        <v>62</v>
      </c>
      <c r="I311" s="5" t="str">
        <f t="shared" si="29"/>
        <v>Defs</v>
      </c>
      <c r="J311" s="8" t="str">
        <f>IF(Table2[[#This Row],[!Type]]=J$1, J$1,"rg:None")</f>
        <v>rg:None</v>
      </c>
      <c r="K311" s="8" t="str">
        <f>IF(Table2[[#This Row],[!Type]]=K$1, K$1,"rg:None")</f>
        <v>rg:None</v>
      </c>
      <c r="L311" s="8" t="str">
        <f>IF(Table2[[#This Row],[!Type]]=L$1, L$1,"rg:None")</f>
        <v>rg:None</v>
      </c>
      <c r="M311" s="8" t="str">
        <f>IF(Table2[[#This Row],[!Type]]=M$1, M$1,"rg:None")</f>
        <v>id</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id</v>
      </c>
      <c r="V311" s="8" t="str">
        <f>IF(LEN(Table2[[#This Row],[!Description]]) &gt; 0, Table2[[#This Row],[!Description]], "rg:None")</f>
        <v>A system-generated unique identifier for a City</v>
      </c>
      <c r="W311" s="8" t="str">
        <f>IF(LEN(Table2[[#This Row],[!FK]])&gt;0,Table2[[#This Row],[!FK]],"rg:None")</f>
        <v>rg:None</v>
      </c>
      <c r="X311" s="8" t="str">
        <f>IF(LEN(concatif2(A:A,Table2[[#This Row],[!Table]],G:G,"Y",D:D,",")) &gt; 0,"rg:[ { 'req' : '"&amp;concatif2(A:A,Table2[[#This Row],[!Table]],G:G,"Y",D:D,"' }, { 'req': '")&amp;"'} ]","rg:[]")</f>
        <v>rg:[ { 'req' : 'id' }, { 'req': 'name'} ]</v>
      </c>
      <c r="Y311" s="8" t="str">
        <f>IF(LEN(Table2[[#This Row],[!Unique]])&gt;0,IF(Table2[[#This Row],[!Type]] = "id", "rg:None","rg:True"),"rg:None")</f>
        <v>rg:None</v>
      </c>
    </row>
    <row r="312" spans="1:25" x14ac:dyDescent="0.3">
      <c r="A312" s="5" t="s">
        <v>11</v>
      </c>
      <c r="B312" s="5" t="s">
        <v>7</v>
      </c>
      <c r="C312" s="5">
        <v>150</v>
      </c>
      <c r="D312" s="5" t="s">
        <v>15</v>
      </c>
      <c r="E312" s="54" t="s">
        <v>39</v>
      </c>
      <c r="F312" s="5" t="s">
        <v>5</v>
      </c>
      <c r="G312" s="158" t="s">
        <v>62</v>
      </c>
      <c r="H312" s="4"/>
      <c r="I312" s="5" t="str">
        <f t="shared" si="29"/>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150</v>
      </c>
      <c r="U312" s="8" t="str">
        <f>IF(LEN(Table2[[#This Row],[!Name]]) &gt; 0, Table2[[#This Row],[!Name]], "rg:None")</f>
        <v>name</v>
      </c>
      <c r="V312" s="8" t="str">
        <f>IF(LEN(Table2[[#This Row],[!Description]]) &gt; 0, Table2[[#This Row],[!Description]], "rg:None")</f>
        <v>The name of the City</v>
      </c>
      <c r="W312" s="8" t="str">
        <f>IF(LEN(Table2[[#This Row],[!FK]])&gt;0,Table2[[#This Row],[!FK]],"rg:None")</f>
        <v>rg:None</v>
      </c>
      <c r="X312" s="8" t="str">
        <f>IF(LEN(concatif2(A:A,Table2[[#This Row],[!Table]],G:G,"Y",D:D,",")) &gt; 0,"rg:[ { 'req' : '"&amp;concatif2(A:A,Table2[[#This Row],[!Table]],G:G,"Y",D:D,"' }, { 'req': '")&amp;"'} ]","rg:[]")</f>
        <v>rg:[ { 'req' : 'id' }, { 'req': 'name'} ]</v>
      </c>
      <c r="Y312" s="8" t="str">
        <f>IF(LEN(Table2[[#This Row],[!Unique]])&gt;0,IF(Table2[[#This Row],[!Type]] = "id", "rg:None","rg:True"),"rg:None")</f>
        <v>rg:None</v>
      </c>
    </row>
    <row r="313" spans="1:25" x14ac:dyDescent="0.3">
      <c r="A313" s="5" t="s">
        <v>0</v>
      </c>
      <c r="B313" s="5" t="s">
        <v>4</v>
      </c>
      <c r="D313" s="5" t="s">
        <v>0</v>
      </c>
      <c r="E313" s="76" t="s">
        <v>371</v>
      </c>
      <c r="F313" s="5" t="s">
        <v>5</v>
      </c>
      <c r="G313" s="4"/>
      <c r="H313" s="4"/>
      <c r="I313" s="5" t="str">
        <f t="shared" si="29"/>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table</v>
      </c>
      <c r="T313" s="8" t="str">
        <f>IF(LEN(Table2[[#This Row],[!Length]]) &gt; 0, Table2[[#This Row],[!Length]], "rg:None")</f>
        <v>rg:None</v>
      </c>
      <c r="U313" s="8" t="str">
        <f>IF(LEN(Table2[[#This Row],[!Name]]) &gt; 0, Table2[[#This Row],[!Name]], "rg:None")</f>
        <v>User</v>
      </c>
      <c r="V313" s="8" t="str">
        <f>IF(LEN(Table2[[#This Row],[!Description]]) &gt; 0, Table2[[#This Row],[!Description]], "rg:None")</f>
        <v>An identified user in the HETS Application that has a defined authorization level.</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3">
      <c r="A314" s="5" t="s">
        <v>0</v>
      </c>
      <c r="B314" s="5" t="s">
        <v>6</v>
      </c>
      <c r="D314" s="5" t="s">
        <v>6</v>
      </c>
      <c r="E314" s="54" t="s">
        <v>321</v>
      </c>
      <c r="F314" s="5" t="s">
        <v>5</v>
      </c>
      <c r="G314" s="4" t="s">
        <v>62</v>
      </c>
      <c r="H314" s="158" t="s">
        <v>62</v>
      </c>
      <c r="I314" s="5" t="str">
        <f t="shared" si="29"/>
        <v>Defs</v>
      </c>
      <c r="J314" s="8" t="str">
        <f>IF(Table2[[#This Row],[!Type]]=J$1, J$1,"rg:None")</f>
        <v>rg:None</v>
      </c>
      <c r="K314" s="8" t="str">
        <f>IF(Table2[[#This Row],[!Type]]=K$1, K$1,"rg:None")</f>
        <v>rg:None</v>
      </c>
      <c r="L314" s="8" t="str">
        <f>IF(Table2[[#This Row],[!Type]]=L$1, L$1,"rg:None")</f>
        <v>rg:None</v>
      </c>
      <c r="M314" s="8" t="str">
        <f>IF(Table2[[#This Row],[!Type]]=M$1, M$1,"rg:None")</f>
        <v>id</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id</v>
      </c>
      <c r="V314" s="8" t="str">
        <f>IF(LEN(Table2[[#This Row],[!Description]]) &gt; 0, Table2[[#This Row],[!Description]], "rg:None")</f>
        <v>A system-generated unique identifier for a User</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7</v>
      </c>
      <c r="C315" s="5">
        <v>50</v>
      </c>
      <c r="D315" s="5" t="s">
        <v>16</v>
      </c>
      <c r="E315" s="54" t="s">
        <v>322</v>
      </c>
      <c r="F315" s="5" t="s">
        <v>5</v>
      </c>
      <c r="G315" s="41" t="s">
        <v>62</v>
      </c>
      <c r="H315" s="41"/>
      <c r="I315" s="5" t="str">
        <f t="shared" si="29"/>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50</v>
      </c>
      <c r="U315" s="8" t="str">
        <f>IF(LEN(Table2[[#This Row],[!Name]]) &gt; 0, Table2[[#This Row],[!Name]], "rg:None")</f>
        <v>givenName</v>
      </c>
      <c r="V315" s="8" t="str">
        <f>IF(LEN(Table2[[#This Row],[!Description]]) &gt; 0, Table2[[#This Row],[!Description]], "rg:None")</f>
        <v>Given name of the user.</v>
      </c>
      <c r="W315" s="8" t="str">
        <f>IF(LEN(Table2[[#This Row],[!FK]])&gt;0,Table2[[#This Row],[!FK]],"rg:None")</f>
        <v>rg:None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7</v>
      </c>
      <c r="C316" s="5">
        <v>50</v>
      </c>
      <c r="D316" s="5" t="s">
        <v>17</v>
      </c>
      <c r="E316" s="54" t="s">
        <v>323</v>
      </c>
      <c r="F316" s="5" t="s">
        <v>5</v>
      </c>
      <c r="G316" s="41" t="s">
        <v>62</v>
      </c>
      <c r="H316" s="41"/>
      <c r="I316" s="5" t="str">
        <f t="shared" ref="I316:I354" si="31">IF(LEN(A316) &gt; 0,"Defs","-")</f>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50</v>
      </c>
      <c r="U316" s="8" t="str">
        <f>IF(LEN(Table2[[#This Row],[!Name]]) &gt; 0, Table2[[#This Row],[!Name]], "rg:None")</f>
        <v>surname</v>
      </c>
      <c r="V316" s="8" t="str">
        <f>IF(LEN(Table2[[#This Row],[!Description]]) &gt; 0, Table2[[#This Row],[!Description]], "rg:None")</f>
        <v>Surname of the user.</v>
      </c>
      <c r="W316" s="8" t="str">
        <f>IF(LEN(Table2[[#This Row],[!FK]])&gt;0,Table2[[#This Row],[!FK]],"rg:None")</f>
        <v>rg:None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7</v>
      </c>
      <c r="C317" s="5">
        <v>10</v>
      </c>
      <c r="D317" s="5" t="s">
        <v>42</v>
      </c>
      <c r="E317" s="54" t="s">
        <v>324</v>
      </c>
      <c r="F317" s="5" t="s">
        <v>5</v>
      </c>
      <c r="G317" s="4"/>
      <c r="H317" s="4"/>
      <c r="I317" s="5" t="str">
        <f t="shared" si="31"/>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10</v>
      </c>
      <c r="U317" s="8" t="str">
        <f>IF(LEN(Table2[[#This Row],[!Name]]) &gt; 0, Table2[[#This Row],[!Name]], "rg:None")</f>
        <v>initials</v>
      </c>
      <c r="V317" s="8" t="str">
        <f>IF(LEN(Table2[[#This Row],[!Description]]) &gt; 0, Table2[[#This Row],[!Description]], "rg:None")</f>
        <v>Initials of the user, to be presented where screen space is at a premium.</v>
      </c>
      <c r="W317" s="8" t="str">
        <f>IF(LEN(Table2[[#This Row],[!FK]])&gt;0,Table2[[#This Row],[!FK]],"rg:None")</f>
        <v>rg:None</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x14ac:dyDescent="0.3">
      <c r="A318" s="5" t="s">
        <v>0</v>
      </c>
      <c r="B318" s="5" t="s">
        <v>7</v>
      </c>
      <c r="C318" s="5">
        <v>255</v>
      </c>
      <c r="D318" s="5" t="s">
        <v>43</v>
      </c>
      <c r="E318" s="54" t="s">
        <v>325</v>
      </c>
      <c r="F318" s="5" t="s">
        <v>5</v>
      </c>
      <c r="G318" s="4"/>
      <c r="H318" s="4"/>
      <c r="I318" s="5" t="str">
        <f t="shared" si="31"/>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8">
        <f>IF(LEN(Table2[[#This Row],[!Length]]) &gt; 0, Table2[[#This Row],[!Length]], "rg:None")</f>
        <v>255</v>
      </c>
      <c r="U318" s="8" t="str">
        <f>IF(LEN(Table2[[#This Row],[!Name]]) &gt; 0, Table2[[#This Row],[!Name]], "rg:None")</f>
        <v>email</v>
      </c>
      <c r="V318" s="8" t="str">
        <f>IF(LEN(Table2[[#This Row],[!Description]]) &gt; 0, Table2[[#This Row],[!Description]], "rg:None")</f>
        <v>The email address of the user in the system.</v>
      </c>
      <c r="W318" s="8" t="str">
        <f>IF(LEN(Table2[[#This Row],[!FK]])&gt;0,Table2[[#This Row],[!FK]],"rg:None")</f>
        <v>rg:None</v>
      </c>
      <c r="X318" s="8" t="str">
        <f>IF(LEN(concatif2(A:A,Table2[[#This Row],[!Table]],G:G,"Y",D:D,",")) &gt; 0,"rg:[ { 'req' : '"&amp;concatif2(A:A,Table2[[#This Row],[!Table]],G:G,"Y",D:D,"' }, { 'req': '")&amp;"'} ]","rg:[]")</f>
        <v>rg:[ { 'req' : 'id' }, { 'req': 'givenName' }, { 'req': 'surname' }, { 'req': 'active'} ]</v>
      </c>
      <c r="Y318" s="8" t="str">
        <f>IF(LEN(Table2[[#This Row],[!Unique]])&gt;0,IF(Table2[[#This Row],[!Type]] = "id", "rg:None","rg:True"),"rg:None")</f>
        <v>rg:None</v>
      </c>
    </row>
    <row r="319" spans="1:25" ht="28.8" x14ac:dyDescent="0.3">
      <c r="A319" s="5" t="s">
        <v>0</v>
      </c>
      <c r="B319" s="5" t="s">
        <v>9</v>
      </c>
      <c r="D319" s="5" t="s">
        <v>41</v>
      </c>
      <c r="E319" s="54" t="s">
        <v>326</v>
      </c>
      <c r="F319" s="5" t="s">
        <v>5</v>
      </c>
      <c r="G319" s="4" t="s">
        <v>62</v>
      </c>
      <c r="H319" s="4"/>
      <c r="I319" s="5" t="str">
        <f t="shared" si="31"/>
        <v>Defs</v>
      </c>
      <c r="J319" s="8" t="str">
        <f>IF(Table2[[#This Row],[!Type]]=J$1, J$1,"rg:None")</f>
        <v>boolean</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active</v>
      </c>
      <c r="V319" s="8" t="str">
        <f>IF(LEN(Table2[[#This Row],[!Description]]) &gt; 0, Table2[[#This Row],[!Description]], "rg:None")</f>
        <v>A flag indicating the User is active in the system. Set false to remove access to the system for the user.</v>
      </c>
      <c r="W319" s="8" t="str">
        <f>IF(LEN(Table2[[#This Row],[!FK]])&gt;0,Table2[[#This Row],[!FK]],"rg:None")</f>
        <v>rg:None</v>
      </c>
      <c r="X319" s="8" t="str">
        <f>IF(LEN(concatif2(A:A,Table2[[#This Row],[!Table]],G:G,"Y",D:D,",")) &gt; 0,"rg:[ { 'req' : '"&amp;concatif2(A:A,Table2[[#This Row],[!Table]],G:G,"Y",D:D,"' }, { 'req': '")&amp;"'} ]","rg:[]")</f>
        <v>rg:[ { 'req' : 'id' }, { 'req': 'givenName' }, { 'req': 'surname' }, { 'req': 'active'} ]</v>
      </c>
      <c r="Y319" s="8" t="str">
        <f>IF(LEN(Table2[[#This Row],[!Unique]])&gt;0,IF(Table2[[#This Row],[!Type]] = "id", "rg:None","rg:True"),"rg:None")</f>
        <v>rg:None</v>
      </c>
    </row>
    <row r="320" spans="1:25" x14ac:dyDescent="0.3">
      <c r="A320" s="5" t="s">
        <v>0</v>
      </c>
      <c r="B320" s="5" t="s">
        <v>7</v>
      </c>
      <c r="C320" s="5">
        <v>255</v>
      </c>
      <c r="D320" s="5" t="s">
        <v>44</v>
      </c>
      <c r="E320" s="54" t="s">
        <v>45</v>
      </c>
      <c r="F320" s="5" t="s">
        <v>5</v>
      </c>
      <c r="G320" s="4"/>
      <c r="H320" s="4"/>
      <c r="I320" s="5" t="str">
        <f t="shared" si="31"/>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255</v>
      </c>
      <c r="U320" s="8" t="str">
        <f>IF(LEN(Table2[[#This Row],[!Name]]) &gt; 0, Table2[[#This Row],[!Name]], "rg:None")</f>
        <v>smUserId</v>
      </c>
      <c r="V320" s="8" t="str">
        <f>IF(LEN(Table2[[#This Row],[!Description]]) &gt; 0, Table2[[#This Row],[!Description]], "rg:None")</f>
        <v>Security Manager User ID</v>
      </c>
      <c r="W320" s="8" t="str">
        <f>IF(LEN(Table2[[#This Row],[!FK]])&gt;0,Table2[[#This Row],[!FK]],"rg:None")</f>
        <v>rg:None</v>
      </c>
      <c r="X320" s="8" t="str">
        <f>IF(LEN(concatif2(A:A,Table2[[#This Row],[!Table]],G:G,"Y",D:D,",")) &gt; 0,"rg:[ { 'req' : '"&amp;concatif2(A:A,Table2[[#This Row],[!Table]],G:G,"Y",D:D,"' }, { 'req': '")&amp;"'} ]","rg:[]")</f>
        <v>rg:[ { 'req' : 'id' }, { 'req': 'givenName' }, { 'req': 'surname' }, { 'req': 'active'} ]</v>
      </c>
      <c r="Y320" s="8" t="str">
        <f>IF(LEN(Table2[[#This Row],[!Unique]])&gt;0,IF(Table2[[#This Row],[!Type]] = "id", "rg:None","rg:True"),"rg:None")</f>
        <v>rg:None</v>
      </c>
    </row>
    <row r="321" spans="1:25" ht="57.6" x14ac:dyDescent="0.3">
      <c r="A321" s="5" t="s">
        <v>0</v>
      </c>
      <c r="B321" s="5" t="s">
        <v>7</v>
      </c>
      <c r="C321" s="5">
        <v>255</v>
      </c>
      <c r="D321" s="5" t="s">
        <v>46</v>
      </c>
      <c r="E321" s="54" t="s">
        <v>327</v>
      </c>
      <c r="F321" s="5" t="s">
        <v>5</v>
      </c>
      <c r="G321" s="4"/>
      <c r="H321" s="4"/>
      <c r="I321" s="5" t="str">
        <f t="shared" si="31"/>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255</v>
      </c>
      <c r="U321" s="8" t="str">
        <f>IF(LEN(Table2[[#This Row],[!Name]]) &gt; 0, Table2[[#This Row],[!Name]], "rg:None")</f>
        <v>guid</v>
      </c>
      <c r="V321"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21" s="8" t="str">
        <f>IF(LEN(Table2[[#This Row],[!FK]])&gt;0,Table2[[#This Row],[!FK]],"rg:None")</f>
        <v>rg:None</v>
      </c>
      <c r="X321" s="8" t="str">
        <f>IF(LEN(concatif2(A:A,Table2[[#This Row],[!Table]],G:G,"Y",D:D,",")) &gt; 0,"rg:[ { 'req' : '"&amp;concatif2(A:A,Table2[[#This Row],[!Table]],G:G,"Y",D:D,"' }, { 'req': '")&amp;"'} ]","rg:[]")</f>
        <v>rg:[ { 'req' : 'id' }, { 'req': 'givenName' }, { 'req': 'surname' }, { 'req': 'active'} ]</v>
      </c>
      <c r="Y321" s="8" t="str">
        <f>IF(LEN(Table2[[#This Row],[!Unique]])&gt;0,IF(Table2[[#This Row],[!Type]] = "id", "rg:None","rg:True"),"rg:None")</f>
        <v>rg:None</v>
      </c>
    </row>
    <row r="322" spans="1:25" x14ac:dyDescent="0.3">
      <c r="A322" s="5" t="s">
        <v>0</v>
      </c>
      <c r="B322" s="5" t="s">
        <v>7</v>
      </c>
      <c r="C322" s="5">
        <v>255</v>
      </c>
      <c r="D322" s="5" t="s">
        <v>47</v>
      </c>
      <c r="E322" s="54" t="s">
        <v>328</v>
      </c>
      <c r="F322" s="5" t="s">
        <v>5</v>
      </c>
      <c r="G322" s="4"/>
      <c r="H322" s="4"/>
      <c r="I322" s="5" t="str">
        <f t="shared" si="31"/>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string</v>
      </c>
      <c r="S322" s="5" t="str">
        <f>IF(Table2[[#This Row],[!Type]]=S$1, S$1,"rg:None")</f>
        <v>rg:None</v>
      </c>
      <c r="T322" s="8">
        <f>IF(LEN(Table2[[#This Row],[!Length]]) &gt; 0, Table2[[#This Row],[!Length]], "rg:None")</f>
        <v>255</v>
      </c>
      <c r="U322" s="8" t="str">
        <f>IF(LEN(Table2[[#This Row],[!Name]]) &gt; 0, Table2[[#This Row],[!Name]], "rg:None")</f>
        <v>smAuthorizationDirectory</v>
      </c>
      <c r="V322" s="8" t="str">
        <f>IF(LEN(Table2[[#This Row],[!Description]]) &gt; 0, Table2[[#This Row],[!Description]], "rg:None")</f>
        <v>The user directory service used by Siteminder to authenticate the user - usually IDIR or BCeID.</v>
      </c>
      <c r="W322" s="8" t="str">
        <f>IF(LEN(Table2[[#This Row],[!FK]])&gt;0,Table2[[#This Row],[!FK]],"rg:None")</f>
        <v>rg:None</v>
      </c>
      <c r="X322" s="8" t="str">
        <f>IF(LEN(concatif2(A:A,Table2[[#This Row],[!Table]],G:G,"Y",D:D,",")) &gt; 0,"rg:[ { 'req' : '"&amp;concatif2(A:A,Table2[[#This Row],[!Table]],G:G,"Y",D:D,"' }, { 'req': '")&amp;"'} ]","rg:[]")</f>
        <v>rg:[ { 'req' : 'id' }, { 'req': 'givenName' }, { 'req': 'surname' }, { 'req': 'active'} ]</v>
      </c>
      <c r="Y322" s="8" t="str">
        <f>IF(LEN(Table2[[#This Row],[!Unique]])&gt;0,IF(Table2[[#This Row],[!Type]] = "id", "rg:None","rg:True"),"rg:None")</f>
        <v>rg:None</v>
      </c>
    </row>
    <row r="323" spans="1:25" x14ac:dyDescent="0.3">
      <c r="A323" s="5" t="s">
        <v>0</v>
      </c>
      <c r="B323" s="5" t="s">
        <v>19</v>
      </c>
      <c r="D323" s="5" t="s">
        <v>48</v>
      </c>
      <c r="F323" s="5" t="s">
        <v>50</v>
      </c>
      <c r="G323" s="4"/>
      <c r="H323" s="4"/>
      <c r="I323" s="5" t="str">
        <f t="shared" si="31"/>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links</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userRoles</v>
      </c>
      <c r="V323" s="8" t="str">
        <f>IF(LEN(Table2[[#This Row],[!Description]]) &gt; 0, Table2[[#This Row],[!Description]], "rg:None")</f>
        <v>rg:None</v>
      </c>
      <c r="W323" s="8" t="str">
        <f>IF(LEN(Table2[[#This Row],[!FK]])&gt;0,Table2[[#This Row],[!FK]],"rg:None")</f>
        <v>UserRole</v>
      </c>
      <c r="X323" s="8" t="str">
        <f>IF(LEN(concatif2(A:A,Table2[[#This Row],[!Table]],G:G,"Y",D:D,",")) &gt; 0,"rg:[ { 'req' : '"&amp;concatif2(A:A,Table2[[#This Row],[!Table]],G:G,"Y",D:D,"' }, { 'req': '")&amp;"'} ]","rg:[]")</f>
        <v>rg:[ { 'req' : 'id' }, { 'req': 'givenName' }, { 'req': 'surname' }, { 'req': 'active'} ]</v>
      </c>
      <c r="Y323" s="8" t="str">
        <f>IF(LEN(Table2[[#This Row],[!Unique]])&gt;0,IF(Table2[[#This Row],[!Type]] = "id", "rg:None","rg:True"),"rg:None")</f>
        <v>rg:None</v>
      </c>
    </row>
    <row r="324" spans="1:25" x14ac:dyDescent="0.3">
      <c r="A324" s="5" t="s">
        <v>0</v>
      </c>
      <c r="B324" s="5" t="s">
        <v>19</v>
      </c>
      <c r="D324" s="5" t="s">
        <v>49</v>
      </c>
      <c r="F324" s="5" t="s">
        <v>59</v>
      </c>
      <c r="G324" s="4"/>
      <c r="H324" s="4"/>
      <c r="I324" s="5" t="str">
        <f t="shared" si="31"/>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links</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groupMemberships</v>
      </c>
      <c r="V324" s="8" t="str">
        <f>IF(LEN(Table2[[#This Row],[!Description]]) &gt; 0, Table2[[#This Row],[!Description]], "rg:None")</f>
        <v>rg:None</v>
      </c>
      <c r="W324" s="8" t="str">
        <f>IF(LEN(Table2[[#This Row],[!FK]])&gt;0,Table2[[#This Row],[!FK]],"rg:None")</f>
        <v>GroupMembership</v>
      </c>
      <c r="X324" s="8" t="str">
        <f>IF(LEN(concatif2(A:A,Table2[[#This Row],[!Table]],G:G,"Y",D:D,",")) &gt; 0,"rg:[ { 'req' : '"&amp;concatif2(A:A,Table2[[#This Row],[!Table]],G:G,"Y",D:D,"' }, { 'req': '")&amp;"'} ]","rg:[]")</f>
        <v>rg:[ { 'req' : 'id' }, { 'req': 'givenName' }, { 'req': 'surname' }, { 'req': 'active'} ]</v>
      </c>
      <c r="Y324" s="8" t="str">
        <f>IF(LEN(Table2[[#This Row],[!Unique]])&gt;0,IF(Table2[[#This Row],[!Type]] = "id", "rg:None","rg:True"),"rg:None")</f>
        <v>rg:None</v>
      </c>
    </row>
    <row r="325" spans="1:25" x14ac:dyDescent="0.3">
      <c r="A325" s="67" t="s">
        <v>0</v>
      </c>
      <c r="B325" s="67" t="s">
        <v>8</v>
      </c>
      <c r="C325" s="72"/>
      <c r="D325" s="67" t="s">
        <v>32</v>
      </c>
      <c r="E325" s="47" t="s">
        <v>431</v>
      </c>
      <c r="F325" s="68" t="s">
        <v>32</v>
      </c>
      <c r="G325" s="18"/>
      <c r="H325" s="18"/>
      <c r="I325" s="4" t="str">
        <f>IF(LEN(A325) &gt; 0,"Defs","-")</f>
        <v>Defs</v>
      </c>
      <c r="J325" s="14" t="str">
        <f>IF(Table2[[#This Row],[!Type]]=J$1, J$1,"rg:None")</f>
        <v>rg:None</v>
      </c>
      <c r="K325" s="14" t="str">
        <f>IF(Table2[[#This Row],[!Type]]=K$1, K$1,"rg:None")</f>
        <v>rg:None</v>
      </c>
      <c r="L325" s="14" t="str">
        <f>IF(Table2[[#This Row],[!Type]]=L$1, L$1,"rg:None")</f>
        <v>rg:None</v>
      </c>
      <c r="M325" s="14" t="str">
        <f>IF(Table2[[#This Row],[!Type]]=M$1, M$1,"rg:None")</f>
        <v>rg:None</v>
      </c>
      <c r="N325" s="14" t="str">
        <f>IF(Table2[[#This Row],[!Type]]=N$1, N$1,"rg:None")</f>
        <v>rg:None</v>
      </c>
      <c r="O325" s="14" t="str">
        <f>IF(Table2[[#This Row],[!Type]]=O$1, O$1,"rg:None")</f>
        <v>rg:None</v>
      </c>
      <c r="P325" s="4" t="str">
        <f>IF(Table2[[#This Row],[!Type]]=P$1, P$1,"rg:None")</f>
        <v>rg:None</v>
      </c>
      <c r="Q325" s="4" t="str">
        <f>IF(Table2[[#This Row],[!Type]]=Q$1, Q$1,"rg:None")</f>
        <v>ref</v>
      </c>
      <c r="R325" s="4" t="str">
        <f>IF(Table2[[#This Row],[!Type]]=R$1, R$1,"rg:None")</f>
        <v>rg:None</v>
      </c>
      <c r="S325" s="4" t="str">
        <f>IF(Table2[[#This Row],[!Type]]=S$1, S$1,"rg:None")</f>
        <v>rg:None</v>
      </c>
      <c r="T325" s="14" t="str">
        <f>IF(LEN(Table2[[#This Row],[!Length]]) &gt; 0, Table2[[#This Row],[!Length]], "rg:None")</f>
        <v>rg:None</v>
      </c>
      <c r="U325" s="14" t="str">
        <f>IF(LEN(Table2[[#This Row],[!Name]]) &gt; 0, Table2[[#This Row],[!Name]], "rg:None")</f>
        <v>District</v>
      </c>
      <c r="V325" s="14" t="str">
        <f>IF(LEN(Table2[[#This Row],[!Description]]) &gt; 0, Table2[[#This Row],[!Description]], "rg:None")</f>
        <v>The District that the User belongs to</v>
      </c>
      <c r="W325" s="14" t="str">
        <f>IF(LEN(Table2[[#This Row],[!FK]])&gt;0,Table2[[#This Row],[!FK]],"rg:None")</f>
        <v>District</v>
      </c>
      <c r="X325" s="14" t="str">
        <f>IF(LEN(concatif2(A:A,Table2[[#This Row],[!Table]],G:G,"Y",D:D,",")) &gt; 0,"rg:[ { 'req' : '"&amp;concatif2(A:A,Table2[[#This Row],[!Table]],G:G,"Y",D:D,"' }, { 'req': '")&amp;"'} ]","rg:[]")</f>
        <v>rg:[ { 'req' : 'id' }, { 'req': 'givenName' }, { 'req': 'surname' }, { 'req': 'active'} ]</v>
      </c>
      <c r="Y325" s="14" t="str">
        <f>IF(LEN(Table2[[#This Row],[!Unique]])&gt;0,IF(Table2[[#This Row],[!Type]] = "id", "rg:None","rg:True"),"rg:None")</f>
        <v>rg:None</v>
      </c>
    </row>
    <row r="326" spans="1:25" ht="28.8" x14ac:dyDescent="0.3">
      <c r="A326" s="5" t="s">
        <v>50</v>
      </c>
      <c r="B326" s="5" t="s">
        <v>4</v>
      </c>
      <c r="D326" s="5" t="s">
        <v>50</v>
      </c>
      <c r="E326" s="54" t="s">
        <v>329</v>
      </c>
      <c r="F326" s="5" t="s">
        <v>5</v>
      </c>
      <c r="G326" s="4"/>
      <c r="H326" s="4"/>
      <c r="I326" s="5" t="str">
        <f t="shared" si="31"/>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table</v>
      </c>
      <c r="T326" s="8" t="str">
        <f>IF(LEN(Table2[[#This Row],[!Length]]) &gt; 0, Table2[[#This Row],[!Length]], "rg:None")</f>
        <v>rg:None</v>
      </c>
      <c r="U326" s="8" t="str">
        <f>IF(LEN(Table2[[#This Row],[!Name]]) &gt; 0, Table2[[#This Row],[!Name]], "rg:None")</f>
        <v>UserRole</v>
      </c>
      <c r="V326"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26" s="8" t="str">
        <f>IF(LEN(Table2[[#This Row],[!FK]])&gt;0,Table2[[#This Row],[!FK]],"rg:None")</f>
        <v>rg:None</v>
      </c>
      <c r="X326" s="8" t="str">
        <f>IF(LEN(concatif2(A:A,Table2[[#This Row],[!Table]],G:G,"Y",D:D,",")) &gt; 0,"rg:[ { 'req' : '"&amp;concatif2(A:A,Table2[[#This Row],[!Table]],G:G,"Y",D:D,"' }, { 'req': '")&amp;"'} ]","rg:[]")</f>
        <v>rg:[ { 'req' : 'id' }, { 'req': 'effectiveDate'} ]</v>
      </c>
      <c r="Y326" s="8" t="str">
        <f>IF(LEN(Table2[[#This Row],[!Unique]])&gt;0,IF(Table2[[#This Row],[!Type]] = "id", "rg:None","rg:True"),"rg:None")</f>
        <v>rg:None</v>
      </c>
    </row>
    <row r="327" spans="1:25" x14ac:dyDescent="0.3">
      <c r="A327" s="5" t="s">
        <v>50</v>
      </c>
      <c r="B327" s="5" t="s">
        <v>6</v>
      </c>
      <c r="D327" s="5" t="s">
        <v>6</v>
      </c>
      <c r="E327" s="54" t="s">
        <v>330</v>
      </c>
      <c r="F327" s="5" t="s">
        <v>5</v>
      </c>
      <c r="G327" s="4" t="s">
        <v>62</v>
      </c>
      <c r="H327" s="4"/>
      <c r="I327" s="5" t="str">
        <f t="shared" si="31"/>
        <v>Defs</v>
      </c>
      <c r="J327" s="8" t="str">
        <f>IF(Table2[[#This Row],[!Type]]=J$1, J$1,"rg:None")</f>
        <v>rg:None</v>
      </c>
      <c r="K327" s="8" t="str">
        <f>IF(Table2[[#This Row],[!Type]]=K$1, K$1,"rg:None")</f>
        <v>rg:None</v>
      </c>
      <c r="L327" s="8" t="str">
        <f>IF(Table2[[#This Row],[!Type]]=L$1, L$1,"rg:None")</f>
        <v>rg:None</v>
      </c>
      <c r="M327" s="8" t="str">
        <f>IF(Table2[[#This Row],[!Type]]=M$1, M$1,"rg:None")</f>
        <v>id</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id</v>
      </c>
      <c r="V327" s="8" t="str">
        <f>IF(LEN(Table2[[#This Row],[!Description]]) &gt; 0, Table2[[#This Row],[!Description]], "rg:None")</f>
        <v>A system-generated unique identifier for a UserRole</v>
      </c>
      <c r="W327" s="8" t="str">
        <f>IF(LEN(Table2[[#This Row],[!FK]])&gt;0,Table2[[#This Row],[!FK]],"rg:None")</f>
        <v>rg:None</v>
      </c>
      <c r="X327" s="8" t="str">
        <f>IF(LEN(concatif2(A:A,Table2[[#This Row],[!Table]],G:G,"Y",D:D,",")) &gt; 0,"rg:[ { 'req' : '"&amp;concatif2(A:A,Table2[[#This Row],[!Table]],G:G,"Y",D:D,"' }, { 'req': '")&amp;"'} ]","rg:[]")</f>
        <v>rg:[ { 'req' : 'id' }, { 'req': 'effectiveDate'} ]</v>
      </c>
      <c r="Y327" s="8" t="str">
        <f>IF(LEN(Table2[[#This Row],[!Unique]])&gt;0,IF(Table2[[#This Row],[!Type]] = "id", "rg:None","rg:True"),"rg:None")</f>
        <v>rg:None</v>
      </c>
    </row>
    <row r="328" spans="1:25" x14ac:dyDescent="0.3">
      <c r="A328" s="5" t="s">
        <v>50</v>
      </c>
      <c r="B328" s="5" t="s">
        <v>12</v>
      </c>
      <c r="D328" s="5" t="s">
        <v>51</v>
      </c>
      <c r="E328" s="54" t="s">
        <v>331</v>
      </c>
      <c r="F328" s="5" t="s">
        <v>5</v>
      </c>
      <c r="G328" s="4" t="s">
        <v>62</v>
      </c>
      <c r="H328" s="4"/>
      <c r="I328" s="5" t="str">
        <f t="shared" si="31"/>
        <v>Defs</v>
      </c>
      <c r="J328" s="8" t="str">
        <f>IF(Table2[[#This Row],[!Type]]=J$1, J$1,"rg:None")</f>
        <v>rg:None</v>
      </c>
      <c r="K328" s="8" t="str">
        <f>IF(Table2[[#This Row],[!Type]]=K$1, K$1,"rg:None")</f>
        <v>rg:None</v>
      </c>
      <c r="L328" s="8" t="str">
        <f>IF(Table2[[#This Row],[!Type]]=L$1, L$1,"rg:None")</f>
        <v>datetime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effectiveDate</v>
      </c>
      <c r="V328" s="8" t="str">
        <f>IF(LEN(Table2[[#This Row],[!Description]]) &gt; 0, Table2[[#This Row],[!Description]], "rg:None")</f>
        <v>The date on which the user was given the related role.</v>
      </c>
      <c r="W328" s="8" t="str">
        <f>IF(LEN(Table2[[#This Row],[!FK]])&gt;0,Table2[[#This Row],[!FK]],"rg:None")</f>
        <v>rg:None</v>
      </c>
      <c r="X328" s="8" t="str">
        <f>IF(LEN(concatif2(A:A,Table2[[#This Row],[!Table]],G:G,"Y",D:D,",")) &gt; 0,"rg:[ { 'req' : '"&amp;concatif2(A:A,Table2[[#This Row],[!Table]],G:G,"Y",D:D,"' }, { 'req': '")&amp;"'} ]","rg:[]")</f>
        <v>rg:[ { 'req' : 'id' }, { 'req': 'effectiveDate'} ]</v>
      </c>
      <c r="Y328" s="8" t="str">
        <f>IF(LEN(Table2[[#This Row],[!Unique]])&gt;0,IF(Table2[[#This Row],[!Type]] = "id", "rg:None","rg:True"),"rg:None")</f>
        <v>rg:None</v>
      </c>
    </row>
    <row r="329" spans="1:25" x14ac:dyDescent="0.3">
      <c r="A329" s="5" t="s">
        <v>50</v>
      </c>
      <c r="B329" s="5" t="s">
        <v>12</v>
      </c>
      <c r="D329" s="5" t="s">
        <v>52</v>
      </c>
      <c r="E329" s="54" t="s">
        <v>332</v>
      </c>
      <c r="F329" s="5" t="s">
        <v>5</v>
      </c>
      <c r="G329" s="4"/>
      <c r="H329" s="4"/>
      <c r="I329" s="5" t="str">
        <f t="shared" si="31"/>
        <v>Defs</v>
      </c>
      <c r="J329" s="8" t="str">
        <f>IF(Table2[[#This Row],[!Type]]=J$1, J$1,"rg:None")</f>
        <v>rg:None</v>
      </c>
      <c r="K329" s="8" t="str">
        <f>IF(Table2[[#This Row],[!Type]]=K$1, K$1,"rg:None")</f>
        <v>rg:None</v>
      </c>
      <c r="L329" s="8" t="str">
        <f>IF(Table2[[#This Row],[!Type]]=L$1, L$1,"rg:None")</f>
        <v>datetime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expiryDate</v>
      </c>
      <c r="V329" s="8" t="str">
        <f>IF(LEN(Table2[[#This Row],[!Description]]) &gt; 0, Table2[[#This Row],[!Description]], "rg:None")</f>
        <v>The date on which a role previously assigned to a user was removed from that user.</v>
      </c>
      <c r="W329" s="8" t="str">
        <f>IF(LEN(Table2[[#This Row],[!FK]])&gt;0,Table2[[#This Row],[!FK]],"rg:None")</f>
        <v>rg:None</v>
      </c>
      <c r="X329" s="8" t="str">
        <f>IF(LEN(concatif2(A:A,Table2[[#This Row],[!Table]],G:G,"Y",D:D,",")) &gt; 0,"rg:[ { 'req' : '"&amp;concatif2(A:A,Table2[[#This Row],[!Table]],G:G,"Y",D:D,"' }, { 'req': '")&amp;"'} ]","rg:[]")</f>
        <v>rg:[ { 'req' : 'id' }, { 'req': 'effectiveDate'} ]</v>
      </c>
      <c r="Y329" s="8" t="str">
        <f>IF(LEN(Table2[[#This Row],[!Unique]])&gt;0,IF(Table2[[#This Row],[!Type]] = "id", "rg:None","rg:True"),"rg:None")</f>
        <v>rg:None</v>
      </c>
    </row>
    <row r="330" spans="1:25" x14ac:dyDescent="0.3">
      <c r="A330" s="5" t="s">
        <v>50</v>
      </c>
      <c r="B330" s="5" t="s">
        <v>8</v>
      </c>
      <c r="D330" s="5" t="s">
        <v>18</v>
      </c>
      <c r="E330" s="130" t="s">
        <v>542</v>
      </c>
      <c r="F330" s="5" t="s">
        <v>53</v>
      </c>
      <c r="G330" s="4"/>
      <c r="H330" s="4"/>
      <c r="I330" s="5" t="str">
        <f t="shared" si="31"/>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role</v>
      </c>
      <c r="V330" s="8" t="str">
        <f>IF(LEN(Table2[[#This Row],[!Description]]) &gt; 0, Table2[[#This Row],[!Description]], "rg:None")</f>
        <v>A foreign key reference to the system-generated unique identifier for a Role</v>
      </c>
      <c r="W330" s="8" t="str">
        <f>IF(LEN(Table2[[#This Row],[!FK]])&gt;0,Table2[[#This Row],[!FK]],"rg:None")</f>
        <v>Role</v>
      </c>
      <c r="X330" s="8" t="str">
        <f>IF(LEN(concatif2(A:A,Table2[[#This Row],[!Table]],G:G,"Y",D:D,",")) &gt; 0,"rg:[ { 'req' : '"&amp;concatif2(A:A,Table2[[#This Row],[!Table]],G:G,"Y",D:D,"' }, { 'req': '")&amp;"'} ]","rg:[]")</f>
        <v>rg:[ { 'req' : 'id' }, { 'req': 'effectiveDate'} ]</v>
      </c>
      <c r="Y330" s="8" t="str">
        <f>IF(LEN(Table2[[#This Row],[!Unique]])&gt;0,IF(Table2[[#This Row],[!Type]] = "id", "rg:None","rg:True"),"rg:None")</f>
        <v>rg:None</v>
      </c>
    </row>
    <row r="331" spans="1:25" ht="43.2" x14ac:dyDescent="0.3">
      <c r="A331" s="5" t="s">
        <v>53</v>
      </c>
      <c r="B331" s="5" t="s">
        <v>4</v>
      </c>
      <c r="D331" s="5" t="s">
        <v>53</v>
      </c>
      <c r="E331" s="76" t="s">
        <v>372</v>
      </c>
      <c r="F331" s="5" t="s">
        <v>5</v>
      </c>
      <c r="G331" s="4"/>
      <c r="H331" s="4"/>
      <c r="I331" s="5" t="str">
        <f t="shared" si="31"/>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table</v>
      </c>
      <c r="T331" s="8" t="str">
        <f>IF(LEN(Table2[[#This Row],[!Length]]) &gt; 0, Table2[[#This Row],[!Length]], "rg:None")</f>
        <v>rg:None</v>
      </c>
      <c r="U331" s="8" t="str">
        <f>IF(LEN(Table2[[#This Row],[!Name]]) &gt; 0, Table2[[#This Row],[!Name]], "rg:None")</f>
        <v>Role</v>
      </c>
      <c r="V331"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Row],[!Unique]])&gt;0,IF(Table2[[#This Row],[!Type]] = "id", "rg:None","rg:True"),"rg:None")</f>
        <v>rg:None</v>
      </c>
    </row>
    <row r="332" spans="1:25" x14ac:dyDescent="0.3">
      <c r="A332" s="5" t="s">
        <v>53</v>
      </c>
      <c r="B332" s="5" t="s">
        <v>6</v>
      </c>
      <c r="D332" s="5" t="s">
        <v>6</v>
      </c>
      <c r="E332" s="54" t="s">
        <v>333</v>
      </c>
      <c r="F332" s="5" t="s">
        <v>5</v>
      </c>
      <c r="G332" s="4" t="s">
        <v>62</v>
      </c>
      <c r="H332" s="158" t="s">
        <v>62</v>
      </c>
      <c r="I332" s="5" t="str">
        <f t="shared" si="31"/>
        <v>Defs</v>
      </c>
      <c r="J332" s="8" t="str">
        <f>IF(Table2[[#This Row],[!Type]]=J$1, J$1,"rg:None")</f>
        <v>rg:None</v>
      </c>
      <c r="K332" s="8" t="str">
        <f>IF(Table2[[#This Row],[!Type]]=K$1, K$1,"rg:None")</f>
        <v>rg:None</v>
      </c>
      <c r="L332" s="8" t="str">
        <f>IF(Table2[[#This Row],[!Type]]=L$1, L$1,"rg:None")</f>
        <v>rg:None</v>
      </c>
      <c r="M332" s="8" t="str">
        <f>IF(Table2[[#This Row],[!Type]]=M$1, M$1,"rg:None")</f>
        <v>id</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id</v>
      </c>
      <c r="V332" s="8" t="str">
        <f>IF(LEN(Table2[[#This Row],[!Description]]) &gt; 0, Table2[[#This Row],[!Description]], "rg:None")</f>
        <v>A system-generated unique identifier for a Role</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Row],[!Unique]])&gt;0,IF(Table2[[#This Row],[!Type]] = "id", "rg:None","rg:True"),"rg:None")</f>
        <v>rg:None</v>
      </c>
    </row>
    <row r="333" spans="1:25" x14ac:dyDescent="0.3">
      <c r="A333" s="5" t="s">
        <v>53</v>
      </c>
      <c r="B333" s="5" t="s">
        <v>7</v>
      </c>
      <c r="C333" s="5">
        <v>255</v>
      </c>
      <c r="D333" s="5" t="s">
        <v>15</v>
      </c>
      <c r="E333" s="54" t="s">
        <v>334</v>
      </c>
      <c r="F333" s="5" t="s">
        <v>5</v>
      </c>
      <c r="G333" s="4" t="s">
        <v>62</v>
      </c>
      <c r="H333" s="4"/>
      <c r="I333" s="5" t="str">
        <f t="shared" si="31"/>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255</v>
      </c>
      <c r="U333" s="8" t="str">
        <f>IF(LEN(Table2[[#This Row],[!Name]]) &gt; 0, Table2[[#This Row],[!Name]], "rg:None")</f>
        <v>name</v>
      </c>
      <c r="V333" s="8" t="str">
        <f>IF(LEN(Table2[[#This Row],[!Description]]) &gt; 0, Table2[[#This Row],[!Description]], "rg:None")</f>
        <v>The name of the Role, as established by the user creating the role.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Row],[!Unique]])&gt;0,IF(Table2[[#This Row],[!Type]] = "id", "rg:None","rg:True"),"rg:None")</f>
        <v>rg:None</v>
      </c>
    </row>
    <row r="334" spans="1:25" x14ac:dyDescent="0.3">
      <c r="A334" s="5" t="s">
        <v>53</v>
      </c>
      <c r="B334" s="5" t="s">
        <v>7</v>
      </c>
      <c r="C334" s="5">
        <v>2048</v>
      </c>
      <c r="D334" s="5" t="s">
        <v>14</v>
      </c>
      <c r="E334" s="54" t="s">
        <v>335</v>
      </c>
      <c r="F334" s="5" t="s">
        <v>5</v>
      </c>
      <c r="G334" s="4" t="s">
        <v>62</v>
      </c>
      <c r="H334" s="4"/>
      <c r="I334" s="5" t="str">
        <f t="shared" si="31"/>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2048</v>
      </c>
      <c r="U334" s="8" t="str">
        <f>IF(LEN(Table2[[#This Row],[!Name]]) &gt; 0, Table2[[#This Row],[!Name]], "rg:None")</f>
        <v>description</v>
      </c>
      <c r="V334" s="8" t="str">
        <f>IF(LEN(Table2[[#This Row],[!Description]]) &gt; 0, Table2[[#This Row],[!Description]], "rg:None")</f>
        <v>A description of the role as set by the user creating/updating the role.</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
      <c r="A335" s="5" t="s">
        <v>53</v>
      </c>
      <c r="B335" s="5" t="s">
        <v>19</v>
      </c>
      <c r="D335" s="5" t="s">
        <v>54</v>
      </c>
      <c r="F335" s="5" t="s">
        <v>55</v>
      </c>
      <c r="G335" s="4"/>
      <c r="H335" s="4"/>
      <c r="I335" s="5" t="str">
        <f t="shared" si="31"/>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links</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rolePermissions</v>
      </c>
      <c r="V335" s="8" t="str">
        <f>IF(LEN(Table2[[#This Row],[!Description]]) &gt; 0, Table2[[#This Row],[!Description]], "rg:None")</f>
        <v>rg:None</v>
      </c>
      <c r="W335" s="8" t="str">
        <f>IF(LEN(Table2[[#This Row],[!FK]])&gt;0,Table2[[#This Row],[!FK]],"rg:None")</f>
        <v>RolePermission</v>
      </c>
      <c r="X335" s="8" t="str">
        <f>IF(LEN(concatif2(A:A,Table2[[#This Row],[!Table]],G:G,"Y",D:D,",")) &gt; 0,"rg:[ { 'req' : '"&amp;concatif2(A:A,Table2[[#This Row],[!Table]],G:G,"Y",D:D,"' }, { 'req': '")&amp;"'} ]","rg:[]")</f>
        <v>rg:[ { 'req' : 'id' }, { 'req': 'name' }, { 'req': 'description'} ]</v>
      </c>
      <c r="Y335" s="8" t="str">
        <f>IF(LEN(Table2[[#This Row],[!Unique]])&gt;0,IF(Table2[[#This Row],[!Type]] = "id", "rg:None","rg:True"),"rg:None")</f>
        <v>rg:None</v>
      </c>
    </row>
    <row r="336" spans="1:25" x14ac:dyDescent="0.3">
      <c r="A336" s="5" t="s">
        <v>53</v>
      </c>
      <c r="B336" s="5" t="s">
        <v>19</v>
      </c>
      <c r="D336" s="5" t="s">
        <v>48</v>
      </c>
      <c r="F336" s="5" t="s">
        <v>50</v>
      </c>
      <c r="G336" s="4"/>
      <c r="H336" s="4"/>
      <c r="I336" s="5" t="str">
        <f t="shared" si="31"/>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links</v>
      </c>
      <c r="Q336" s="5" t="str">
        <f>IF(Table2[[#This Row],[!Type]]=Q$1, Q$1,"rg:None")</f>
        <v>rg:None</v>
      </c>
      <c r="R336" s="5" t="str">
        <f>IF(Table2[[#This Row],[!Type]]=R$1, R$1,"rg:None")</f>
        <v>rg:None</v>
      </c>
      <c r="S336" s="5" t="str">
        <f>IF(Table2[[#This Row],[!Type]]=S$1, S$1,"rg:None")</f>
        <v>rg:None</v>
      </c>
      <c r="T336" s="8" t="str">
        <f>IF(LEN(Table2[[#This Row],[!Length]]) &gt; 0, Table2[[#This Row],[!Length]], "rg:None")</f>
        <v>rg:None</v>
      </c>
      <c r="U336" s="8" t="str">
        <f>IF(LEN(Table2[[#This Row],[!Name]]) &gt; 0, Table2[[#This Row],[!Name]], "rg:None")</f>
        <v>userRoles</v>
      </c>
      <c r="V336" s="8" t="str">
        <f>IF(LEN(Table2[[#This Row],[!Description]]) &gt; 0, Table2[[#This Row],[!Description]], "rg:None")</f>
        <v>rg:None</v>
      </c>
      <c r="W336" s="8" t="str">
        <f>IF(LEN(Table2[[#This Row],[!FK]])&gt;0,Table2[[#This Row],[!FK]],"rg:None")</f>
        <v>UserRole</v>
      </c>
      <c r="X336" s="8" t="str">
        <f>IF(LEN(concatif2(A:A,Table2[[#This Row],[!Table]],G:G,"Y",D:D,",")) &gt; 0,"rg:[ { 'req' : '"&amp;concatif2(A:A,Table2[[#This Row],[!Table]],G:G,"Y",D:D,"' }, { 'req': '")&amp;"'} ]","rg:[]")</f>
        <v>rg:[ { 'req' : 'id' }, { 'req': 'name' }, { 'req': 'description'} ]</v>
      </c>
      <c r="Y336" s="8" t="str">
        <f>IF(LEN(Table2[[#This Row],[!Unique]])&gt;0,IF(Table2[[#This Row],[!Type]] = "id", "rg:None","rg:True"),"rg:None")</f>
        <v>rg:None</v>
      </c>
    </row>
    <row r="337" spans="1:25" ht="28.8" x14ac:dyDescent="0.3">
      <c r="A337" s="5" t="s">
        <v>55</v>
      </c>
      <c r="B337" s="5" t="s">
        <v>4</v>
      </c>
      <c r="D337" s="5" t="s">
        <v>55</v>
      </c>
      <c r="E337" s="76" t="s">
        <v>373</v>
      </c>
      <c r="F337" s="5" t="s">
        <v>5</v>
      </c>
      <c r="G337" s="4"/>
      <c r="H337" s="4"/>
      <c r="I337" s="5" t="str">
        <f t="shared" si="31"/>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table</v>
      </c>
      <c r="T337" s="8" t="str">
        <f>IF(LEN(Table2[[#This Row],[!Length]]) &gt; 0, Table2[[#This Row],[!Length]], "rg:None")</f>
        <v>rg:None</v>
      </c>
      <c r="U337" s="8" t="str">
        <f>IF(LEN(Table2[[#This Row],[!Name]]) &gt; 0, Table2[[#This Row],[!Name]], "rg:None")</f>
        <v>RolePermission</v>
      </c>
      <c r="V337" s="8" t="str">
        <f>IF(LEN(Table2[[#This Row],[!Description]]) &gt; 0, Table2[[#This Row],[!Description]], "rg:None")</f>
        <v>A permission that is part of a Role - a component of the authorization provided by the Role to the user to which the Role is assigned.</v>
      </c>
      <c r="W337" s="8" t="str">
        <f>IF(LEN(Table2[[#This Row],[!FK]])&gt;0,Table2[[#This Row],[!FK]],"rg:None")</f>
        <v>rg:None</v>
      </c>
      <c r="X337" s="8" t="str">
        <f>IF(LEN(concatif2(A:A,Table2[[#This Row],[!Table]],G:G,"Y",D:D,",")) &gt; 0,"rg:[ { 'req' : '"&amp;concatif2(A:A,Table2[[#This Row],[!Table]],G:G,"Y",D:D,"' }, { 'req': '")&amp;"'} ]","rg:[]")</f>
        <v>rg:[ { 'req' : 'id' }, { 'req': 'role' }, { 'req': 'permission'} ]</v>
      </c>
      <c r="Y337" s="8" t="str">
        <f>IF(LEN(Table2[[#This Row],[!Unique]])&gt;0,IF(Table2[[#This Row],[!Type]] = "id", "rg:None","rg:True"),"rg:None")</f>
        <v>rg:None</v>
      </c>
    </row>
    <row r="338" spans="1:25" x14ac:dyDescent="0.3">
      <c r="A338" s="5" t="s">
        <v>55</v>
      </c>
      <c r="B338" s="5" t="s">
        <v>6</v>
      </c>
      <c r="D338" s="5" t="s">
        <v>6</v>
      </c>
      <c r="E338" s="54" t="s">
        <v>336</v>
      </c>
      <c r="F338" s="5" t="s">
        <v>5</v>
      </c>
      <c r="G338" s="4" t="s">
        <v>62</v>
      </c>
      <c r="H338" s="4"/>
      <c r="I338" s="5" t="str">
        <f t="shared" si="31"/>
        <v>Defs</v>
      </c>
      <c r="J338" s="8" t="str">
        <f>IF(Table2[[#This Row],[!Type]]=J$1, J$1,"rg:None")</f>
        <v>rg:None</v>
      </c>
      <c r="K338" s="8" t="str">
        <f>IF(Table2[[#This Row],[!Type]]=K$1, K$1,"rg:None")</f>
        <v>rg:None</v>
      </c>
      <c r="L338" s="8" t="str">
        <f>IF(Table2[[#This Row],[!Type]]=L$1, L$1,"rg:None")</f>
        <v>rg:None</v>
      </c>
      <c r="M338" s="8" t="str">
        <f>IF(Table2[[#This Row],[!Type]]=M$1, M$1,"rg:None")</f>
        <v>id</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id</v>
      </c>
      <c r="V338" s="8" t="str">
        <f>IF(LEN(Table2[[#This Row],[!Description]]) &gt; 0, Table2[[#This Row],[!Description]], "rg:None")</f>
        <v>A system-generated unique identifier for a RolePermission</v>
      </c>
      <c r="W338" s="8" t="str">
        <f>IF(LEN(Table2[[#This Row],[!FK]])&gt;0,Table2[[#This Row],[!FK]],"rg:None")</f>
        <v>rg:None</v>
      </c>
      <c r="X338" s="8" t="str">
        <f>IF(LEN(concatif2(A:A,Table2[[#This Row],[!Table]],G:G,"Y",D:D,",")) &gt; 0,"rg:[ { 'req' : '"&amp;concatif2(A:A,Table2[[#This Row],[!Table]],G:G,"Y",D:D,"' }, { 'req': '")&amp;"'} ]","rg:[]")</f>
        <v>rg:[ { 'req' : 'id' }, { 'req': 'role' }, { 'req': 'permission'} ]</v>
      </c>
      <c r="Y338" s="8" t="str">
        <f>IF(LEN(Table2[[#This Row],[!Unique]])&gt;0,IF(Table2[[#This Row],[!Type]] = "id", "rg:None","rg:True"),"rg:None")</f>
        <v>rg:None</v>
      </c>
    </row>
    <row r="339" spans="1:25" x14ac:dyDescent="0.3">
      <c r="A339" s="5" t="s">
        <v>55</v>
      </c>
      <c r="B339" s="5" t="s">
        <v>8</v>
      </c>
      <c r="D339" s="5" t="s">
        <v>18</v>
      </c>
      <c r="F339" s="5" t="s">
        <v>53</v>
      </c>
      <c r="G339" s="158" t="s">
        <v>62</v>
      </c>
      <c r="H339" s="4"/>
      <c r="I339" s="5" t="str">
        <f t="shared" si="31"/>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ref</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role</v>
      </c>
      <c r="V339" s="8" t="str">
        <f>IF(LEN(Table2[[#This Row],[!Description]]) &gt; 0, Table2[[#This Row],[!Description]], "rg:None")</f>
        <v>rg:None</v>
      </c>
      <c r="W339" s="8" t="str">
        <f>IF(LEN(Table2[[#This Row],[!FK]])&gt;0,Table2[[#This Row],[!FK]],"rg:None")</f>
        <v>Role</v>
      </c>
      <c r="X339" s="8" t="str">
        <f>IF(LEN(concatif2(A:A,Table2[[#This Row],[!Table]],G:G,"Y",D:D,",")) &gt; 0,"rg:[ { 'req' : '"&amp;concatif2(A:A,Table2[[#This Row],[!Table]],G:G,"Y",D:D,"' }, { 'req': '")&amp;"'} ]","rg:[]")</f>
        <v>rg:[ { 'req' : 'id' }, { 'req': 'role' }, { 'req': 'permission'} ]</v>
      </c>
      <c r="Y339" s="8" t="str">
        <f>IF(LEN(Table2[[#This Row],[!Unique]])&gt;0,IF(Table2[[#This Row],[!Type]] = "id", "rg:None","rg:True"),"rg:None")</f>
        <v>rg:None</v>
      </c>
    </row>
    <row r="340" spans="1:25" x14ac:dyDescent="0.3">
      <c r="A340" s="5" t="s">
        <v>55</v>
      </c>
      <c r="B340" s="5" t="s">
        <v>8</v>
      </c>
      <c r="D340" s="5" t="s">
        <v>56</v>
      </c>
      <c r="E340" s="130" t="s">
        <v>543</v>
      </c>
      <c r="F340" s="5" t="s">
        <v>57</v>
      </c>
      <c r="G340" s="158" t="s">
        <v>62</v>
      </c>
      <c r="H340" s="4"/>
      <c r="I340" s="5" t="str">
        <f t="shared" si="31"/>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ref</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permission</v>
      </c>
      <c r="V340" s="8" t="str">
        <f>IF(LEN(Table2[[#This Row],[!Description]]) &gt; 0, Table2[[#This Row],[!Description]], "rg:None")</f>
        <v>A foreign key reference to the system-generated unique identifier for a Permission</v>
      </c>
      <c r="W340" s="8" t="str">
        <f>IF(LEN(Table2[[#This Row],[!FK]])&gt;0,Table2[[#This Row],[!FK]],"rg:None")</f>
        <v>Permission</v>
      </c>
      <c r="X340" s="8" t="str">
        <f>IF(LEN(concatif2(A:A,Table2[[#This Row],[!Table]],G:G,"Y",D:D,",")) &gt; 0,"rg:[ { 'req' : '"&amp;concatif2(A:A,Table2[[#This Row],[!Table]],G:G,"Y",D:D,"' }, { 'req': '")&amp;"'} ]","rg:[]")</f>
        <v>rg:[ { 'req' : 'id' }, { 'req': 'role' }, { 'req': 'permission'} ]</v>
      </c>
      <c r="Y340" s="8" t="str">
        <f>IF(LEN(Table2[[#This Row],[!Unique]])&gt;0,IF(Table2[[#This Row],[!Type]] = "id", "rg:None","rg:True"),"rg:None")</f>
        <v>rg:None</v>
      </c>
    </row>
    <row r="341" spans="1:25" ht="72" x14ac:dyDescent="0.3">
      <c r="A341" s="5" t="s">
        <v>57</v>
      </c>
      <c r="B341" s="5" t="s">
        <v>4</v>
      </c>
      <c r="D341" s="5" t="s">
        <v>57</v>
      </c>
      <c r="E341" s="76" t="s">
        <v>374</v>
      </c>
      <c r="F341" s="5" t="s">
        <v>5</v>
      </c>
      <c r="G341" s="4"/>
      <c r="H341" s="4"/>
      <c r="I341" s="5" t="str">
        <f t="shared" si="31"/>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table</v>
      </c>
      <c r="T341" s="8" t="str">
        <f>IF(LEN(Table2[[#This Row],[!Length]]) &gt; 0, Table2[[#This Row],[!Length]], "rg:None")</f>
        <v>rg:None</v>
      </c>
      <c r="U341" s="8" t="str">
        <f>IF(LEN(Table2[[#This Row],[!Name]]) &gt; 0, Table2[[#This Row],[!Name]], "rg:None")</f>
        <v>Permission</v>
      </c>
      <c r="V341"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41" s="8" t="str">
        <f>IF(LEN(Table2[[#This Row],[!FK]])&gt;0,Table2[[#This Row],[!FK]],"rg:None")</f>
        <v>rg:None</v>
      </c>
      <c r="X341" s="8" t="str">
        <f>IF(LEN(concatif2(A:A,Table2[[#This Row],[!Table]],G:G,"Y",D:D,",")) &gt; 0,"rg:[ { 'req' : '"&amp;concatif2(A:A,Table2[[#This Row],[!Table]],G:G,"Y",D:D,"' }, { 'req': '")&amp;"'} ]","rg:[]")</f>
        <v>rg:[ { 'req' : 'id' }, { 'req': 'code' }, { 'req': 'name'} ]</v>
      </c>
      <c r="Y341" s="8" t="str">
        <f>IF(LEN(Table2[[#This Row],[!Unique]])&gt;0,IF(Table2[[#This Row],[!Type]] = "id", "rg:None","rg:True"),"rg:None")</f>
        <v>rg:None</v>
      </c>
    </row>
    <row r="342" spans="1:25" x14ac:dyDescent="0.3">
      <c r="A342" s="5" t="s">
        <v>57</v>
      </c>
      <c r="B342" s="5" t="s">
        <v>6</v>
      </c>
      <c r="D342" s="5" t="s">
        <v>6</v>
      </c>
      <c r="E342" s="54" t="s">
        <v>337</v>
      </c>
      <c r="F342" s="5" t="s">
        <v>5</v>
      </c>
      <c r="G342" s="4" t="s">
        <v>62</v>
      </c>
      <c r="H342" s="158" t="s">
        <v>62</v>
      </c>
      <c r="I342" s="5" t="str">
        <f t="shared" si="31"/>
        <v>Defs</v>
      </c>
      <c r="J342" s="8" t="str">
        <f>IF(Table2[[#This Row],[!Type]]=J$1, J$1,"rg:None")</f>
        <v>rg:None</v>
      </c>
      <c r="K342" s="8" t="str">
        <f>IF(Table2[[#This Row],[!Type]]=K$1, K$1,"rg:None")</f>
        <v>rg:None</v>
      </c>
      <c r="L342" s="8" t="str">
        <f>IF(Table2[[#This Row],[!Type]]=L$1, L$1,"rg:None")</f>
        <v>rg:None</v>
      </c>
      <c r="M342" s="8" t="str">
        <f>IF(Table2[[#This Row],[!Type]]=M$1, M$1,"rg:None")</f>
        <v>id</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id</v>
      </c>
      <c r="V342" s="8" t="str">
        <f>IF(LEN(Table2[[#This Row],[!Description]]) &gt; 0, Table2[[#This Row],[!Description]], "rg:None")</f>
        <v>A system-generated unique identifier for a Permission</v>
      </c>
      <c r="W342" s="8" t="str">
        <f>IF(LEN(Table2[[#This Row],[!FK]])&gt;0,Table2[[#This Row],[!FK]],"rg:None")</f>
        <v>rg:None</v>
      </c>
      <c r="X342" s="8" t="str">
        <f>IF(LEN(concatif2(A:A,Table2[[#This Row],[!Table]],G:G,"Y",D:D,",")) &gt; 0,"rg:[ { 'req' : '"&amp;concatif2(A:A,Table2[[#This Row],[!Table]],G:G,"Y",D:D,"' }, { 'req': '")&amp;"'} ]","rg:[]")</f>
        <v>rg:[ { 'req' : 'id' }, { 'req': 'code' }, { 'req': 'name'} ]</v>
      </c>
      <c r="Y342" s="8" t="str">
        <f>IF(LEN(Table2[[#This Row],[!Unique]])&gt;0,IF(Table2[[#This Row],[!Type]] = "id", "rg:None","rg:True"),"rg:None")</f>
        <v>rg:None</v>
      </c>
    </row>
    <row r="343" spans="1:25" x14ac:dyDescent="0.3">
      <c r="A343" s="5" t="s">
        <v>57</v>
      </c>
      <c r="B343" s="5" t="s">
        <v>7</v>
      </c>
      <c r="C343" s="5">
        <v>50</v>
      </c>
      <c r="D343" s="5" t="s">
        <v>58</v>
      </c>
      <c r="E343" s="54" t="s">
        <v>338</v>
      </c>
      <c r="F343" s="5" t="s">
        <v>5</v>
      </c>
      <c r="G343" s="4" t="s">
        <v>62</v>
      </c>
      <c r="H343" s="158" t="s">
        <v>62</v>
      </c>
      <c r="I343" s="5" t="str">
        <f t="shared" si="31"/>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string</v>
      </c>
      <c r="S343" s="5" t="str">
        <f>IF(Table2[[#This Row],[!Type]]=S$1, S$1,"rg:None")</f>
        <v>rg:None</v>
      </c>
      <c r="T343" s="8">
        <f>IF(LEN(Table2[[#This Row],[!Length]]) &gt; 0, Table2[[#This Row],[!Length]], "rg:None")</f>
        <v>50</v>
      </c>
      <c r="U343" s="8" t="str">
        <f>IF(LEN(Table2[[#This Row],[!Name]]) &gt; 0, Table2[[#This Row],[!Name]], "rg:None")</f>
        <v>code</v>
      </c>
      <c r="V343" s="8" t="str">
        <f>IF(LEN(Table2[[#This Row],[!Description]]) &gt; 0, Table2[[#This Row],[!Description]], "rg:None")</f>
        <v>The name of the permission referenced in the software of the application.</v>
      </c>
      <c r="W343" s="8" t="str">
        <f>IF(LEN(Table2[[#This Row],[!FK]])&gt;0,Table2[[#This Row],[!FK]],"rg:None")</f>
        <v>rg:None</v>
      </c>
      <c r="X343" s="8" t="str">
        <f>IF(LEN(concatif2(A:A,Table2[[#This Row],[!Table]],G:G,"Y",D:D,",")) &gt; 0,"rg:[ { 'req' : '"&amp;concatif2(A:A,Table2[[#This Row],[!Table]],G:G,"Y",D:D,"' }, { 'req': '")&amp;"'} ]","rg:[]")</f>
        <v>rg:[ { 'req' : 'id' }, { 'req': 'code' }, { 'req': 'name'} ]</v>
      </c>
      <c r="Y343" s="8" t="str">
        <f>IF(LEN(Table2[[#This Row],[!Unique]])&gt;0,IF(Table2[[#This Row],[!Type]] = "id", "rg:None","rg:True"),"rg:None")</f>
        <v>rg:True</v>
      </c>
    </row>
    <row r="344" spans="1:25" ht="28.8" x14ac:dyDescent="0.3">
      <c r="A344" s="5" t="s">
        <v>57</v>
      </c>
      <c r="B344" s="5" t="s">
        <v>7</v>
      </c>
      <c r="C344" s="5">
        <v>150</v>
      </c>
      <c r="D344" s="5" t="s">
        <v>15</v>
      </c>
      <c r="E344" s="54" t="s">
        <v>339</v>
      </c>
      <c r="F344" s="5" t="s">
        <v>5</v>
      </c>
      <c r="G344" s="4" t="s">
        <v>62</v>
      </c>
      <c r="H344" s="158" t="s">
        <v>62</v>
      </c>
      <c r="I344" s="5" t="str">
        <f t="shared" si="31"/>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150</v>
      </c>
      <c r="U344" s="8" t="str">
        <f>IF(LEN(Table2[[#This Row],[!Name]]) &gt; 0, Table2[[#This Row],[!Name]], "rg:None")</f>
        <v>name</v>
      </c>
      <c r="V344" s="8" t="str">
        <f>IF(LEN(Table2[[#This Row],[!Description]]) &gt; 0, Table2[[#This Row],[!Description]], "rg:None")</f>
        <v>The 'user friendly' name of the permission exposed to the user selecting the permissions to be included in a Role.</v>
      </c>
      <c r="W344" s="8" t="str">
        <f>IF(LEN(Table2[[#This Row],[!FK]])&gt;0,Table2[[#This Row],[!FK]],"rg:None")</f>
        <v>rg:None</v>
      </c>
      <c r="X344" s="8" t="str">
        <f>IF(LEN(concatif2(A:A,Table2[[#This Row],[!Table]],G:G,"Y",D:D,",")) &gt; 0,"rg:[ { 'req' : '"&amp;concatif2(A:A,Table2[[#This Row],[!Table]],G:G,"Y",D:D,"' }, { 'req': '")&amp;"'} ]","rg:[]")</f>
        <v>rg:[ { 'req' : 'id' }, { 'req': 'code' }, { 'req': 'name'} ]</v>
      </c>
      <c r="Y344" s="8" t="str">
        <f>IF(LEN(Table2[[#This Row],[!Unique]])&gt;0,IF(Table2[[#This Row],[!Type]] = "id", "rg:None","rg:True"),"rg:None")</f>
        <v>rg:True</v>
      </c>
    </row>
    <row r="345" spans="1:25" ht="28.8" x14ac:dyDescent="0.3">
      <c r="A345" s="5" t="s">
        <v>57</v>
      </c>
      <c r="B345" s="5" t="s">
        <v>7</v>
      </c>
      <c r="C345" s="5">
        <v>2048</v>
      </c>
      <c r="D345" s="5" t="s">
        <v>14</v>
      </c>
      <c r="E345" s="54" t="s">
        <v>340</v>
      </c>
      <c r="F345" s="5" t="s">
        <v>5</v>
      </c>
      <c r="G345" s="4"/>
      <c r="H345" s="4"/>
      <c r="I345" s="5" t="str">
        <f t="shared" si="31"/>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2048</v>
      </c>
      <c r="U345" s="8" t="str">
        <f>IF(LEN(Table2[[#This Row],[!Name]]) &gt; 0, Table2[[#This Row],[!Name]], "rg:None")</f>
        <v>description</v>
      </c>
      <c r="V345" s="8" t="str">
        <f>IF(LEN(Table2[[#This Row],[!Description]]) &gt; 0, Table2[[#This Row],[!Description]], "rg:None")</f>
        <v>A description of the purpose of the permission and exposed to the user selecting the permissions to be included in a Role.</v>
      </c>
      <c r="W345" s="8" t="str">
        <f>IF(LEN(Table2[[#This Row],[!FK]])&gt;0,Table2[[#This Row],[!FK]],"rg:None")</f>
        <v>rg:None</v>
      </c>
      <c r="X345" s="8" t="str">
        <f>IF(LEN(concatif2(A:A,Table2[[#This Row],[!Table]],G:G,"Y",D:D,",")) &gt; 0,"rg:[ { 'req' : '"&amp;concatif2(A:A,Table2[[#This Row],[!Table]],G:G,"Y",D:D,"' }, { 'req': '")&amp;"'} ]","rg:[]")</f>
        <v>rg:[ { 'req' : 'id' }, { 'req': 'code' }, { 'req': 'name'} ]</v>
      </c>
      <c r="Y345" s="8" t="str">
        <f>IF(LEN(Table2[[#This Row],[!Unique]])&gt;0,IF(Table2[[#This Row],[!Type]] = "id", "rg:None","rg:True"),"rg:None")</f>
        <v>rg:None</v>
      </c>
    </row>
    <row r="346" spans="1:25" x14ac:dyDescent="0.3">
      <c r="A346" s="5" t="s">
        <v>59</v>
      </c>
      <c r="B346" s="5" t="s">
        <v>4</v>
      </c>
      <c r="D346" s="5" t="s">
        <v>59</v>
      </c>
      <c r="E346" s="54" t="s">
        <v>341</v>
      </c>
      <c r="F346" s="5" t="s">
        <v>5</v>
      </c>
      <c r="G346" s="4"/>
      <c r="H346" s="4"/>
      <c r="I346" s="5" t="str">
        <f t="shared" si="31"/>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rg:None</v>
      </c>
      <c r="S346" s="5" t="str">
        <f>IF(Table2[[#This Row],[!Type]]=S$1, S$1,"rg:None")</f>
        <v>table</v>
      </c>
      <c r="T346" s="8" t="str">
        <f>IF(LEN(Table2[[#This Row],[!Length]]) &gt; 0, Table2[[#This Row],[!Length]], "rg:None")</f>
        <v>rg:None</v>
      </c>
      <c r="U346" s="8" t="str">
        <f>IF(LEN(Table2[[#This Row],[!Name]]) &gt; 0, Table2[[#This Row],[!Name]], "rg:None")</f>
        <v>GroupMembership</v>
      </c>
      <c r="V346" s="8" t="str">
        <f>IF(LEN(Table2[[#This Row],[!Description]]) &gt; 0, Table2[[#This Row],[!Description]], "rg:None")</f>
        <v>The users associated with a given group that has been defined in the application.</v>
      </c>
      <c r="W346" s="8" t="str">
        <f>IF(LEN(Table2[[#This Row],[!FK]])&gt;0,Table2[[#This Row],[!FK]],"rg:None")</f>
        <v>rg:None</v>
      </c>
      <c r="X346" s="8" t="str">
        <f>IF(LEN(concatif2(A:A,Table2[[#This Row],[!Table]],G:G,"Y",D:D,",")) &gt; 0,"rg:[ { 'req' : '"&amp;concatif2(A:A,Table2[[#This Row],[!Table]],G:G,"Y",D:D,"' }, { 'req': '")&amp;"'} ]","rg:[]")</f>
        <v>rg:[ { 'req' : 'id' }, { 'req': 'active' }, { 'req': 'group' }, { 'req': 'user'} ]</v>
      </c>
      <c r="Y346" s="8" t="str">
        <f>IF(LEN(Table2[[#This Row],[!Unique]])&gt;0,IF(Table2[[#This Row],[!Type]] = "id", "rg:None","rg:True"),"rg:None")</f>
        <v>rg:None</v>
      </c>
    </row>
    <row r="347" spans="1:25" x14ac:dyDescent="0.3">
      <c r="A347" s="5" t="s">
        <v>59</v>
      </c>
      <c r="B347" s="5" t="s">
        <v>6</v>
      </c>
      <c r="D347" s="5" t="s">
        <v>6</v>
      </c>
      <c r="E347" s="54" t="s">
        <v>342</v>
      </c>
      <c r="F347" s="5" t="s">
        <v>5</v>
      </c>
      <c r="G347" s="4" t="s">
        <v>62</v>
      </c>
      <c r="H347" s="158" t="s">
        <v>62</v>
      </c>
      <c r="I347" s="5" t="str">
        <f t="shared" si="31"/>
        <v>Defs</v>
      </c>
      <c r="J347" s="8" t="str">
        <f>IF(Table2[[#This Row],[!Type]]=J$1, J$1,"rg:None")</f>
        <v>rg:None</v>
      </c>
      <c r="K347" s="8" t="str">
        <f>IF(Table2[[#This Row],[!Type]]=K$1, K$1,"rg:None")</f>
        <v>rg:None</v>
      </c>
      <c r="L347" s="8" t="str">
        <f>IF(Table2[[#This Row],[!Type]]=L$1, L$1,"rg:None")</f>
        <v>rg:None</v>
      </c>
      <c r="M347" s="8" t="str">
        <f>IF(Table2[[#This Row],[!Type]]=M$1, M$1,"rg:None")</f>
        <v>id</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rg:None</v>
      </c>
      <c r="S347" s="5" t="str">
        <f>IF(Table2[[#This Row],[!Type]]=S$1, S$1,"rg:None")</f>
        <v>rg:None</v>
      </c>
      <c r="T347" s="8" t="str">
        <f>IF(LEN(Table2[[#This Row],[!Length]]) &gt; 0, Table2[[#This Row],[!Length]], "rg:None")</f>
        <v>rg:None</v>
      </c>
      <c r="U347" s="8" t="str">
        <f>IF(LEN(Table2[[#This Row],[!Name]]) &gt; 0, Table2[[#This Row],[!Name]], "rg:None")</f>
        <v>id</v>
      </c>
      <c r="V347" s="8" t="str">
        <f>IF(LEN(Table2[[#This Row],[!Description]]) &gt; 0, Table2[[#This Row],[!Description]], "rg:None")</f>
        <v>A system-generated unique identifier for a GroupMembership</v>
      </c>
      <c r="W347" s="8" t="str">
        <f>IF(LEN(Table2[[#This Row],[!FK]])&gt;0,Table2[[#This Row],[!FK]],"rg:None")</f>
        <v>rg:None</v>
      </c>
      <c r="X347" s="8" t="str">
        <f>IF(LEN(concatif2(A:A,Table2[[#This Row],[!Table]],G:G,"Y",D:D,",")) &gt; 0,"rg:[ { 'req' : '"&amp;concatif2(A:A,Table2[[#This Row],[!Table]],G:G,"Y",D:D,"' }, { 'req': '")&amp;"'} ]","rg:[]")</f>
        <v>rg:[ { 'req' : 'id' }, { 'req': 'active' }, { 'req': 'group' }, { 'req': 'user'} ]</v>
      </c>
      <c r="Y347" s="8" t="str">
        <f>IF(LEN(Table2[[#This Row],[!Unique]])&gt;0,IF(Table2[[#This Row],[!Type]] = "id", "rg:None","rg:True"),"rg:None")</f>
        <v>rg:None</v>
      </c>
    </row>
    <row r="348" spans="1:25" ht="28.8" x14ac:dyDescent="0.3">
      <c r="A348" s="5" t="s">
        <v>59</v>
      </c>
      <c r="B348" s="5" t="s">
        <v>9</v>
      </c>
      <c r="D348" s="5" t="s">
        <v>41</v>
      </c>
      <c r="E348" s="54" t="s">
        <v>343</v>
      </c>
      <c r="F348" s="5" t="s">
        <v>5</v>
      </c>
      <c r="G348" s="4" t="s">
        <v>62</v>
      </c>
      <c r="H348" s="4"/>
      <c r="I348" s="5" t="str">
        <f t="shared" si="31"/>
        <v>Defs</v>
      </c>
      <c r="J348" s="8" t="str">
        <f>IF(Table2[[#This Row],[!Type]]=J$1, J$1,"rg:None")</f>
        <v>boolean</v>
      </c>
      <c r="K348" s="8" t="str">
        <f>IF(Table2[[#This Row],[!Type]]=K$1, K$1,"rg:None")</f>
        <v>rg:None</v>
      </c>
      <c r="L348" s="8" t="str">
        <f>IF(Table2[[#This Row],[!Type]]=L$1, L$1,"rg:None")</f>
        <v>rg:None</v>
      </c>
      <c r="M348" s="8" t="str">
        <f>IF(Table2[[#This Row],[!Type]]=M$1, M$1,"rg:None")</f>
        <v>rg:None</v>
      </c>
      <c r="N348" s="8" t="str">
        <f>IF(Table2[[#This Row],[!Type]]=N$1, N$1,"rg:None")</f>
        <v>rg:None</v>
      </c>
      <c r="O348" s="8" t="str">
        <f>IF(Table2[[#This Row],[!Type]]=O$1, O$1,"rg:None")</f>
        <v>rg:None</v>
      </c>
      <c r="P348" s="5" t="str">
        <f>IF(Table2[[#This Row],[!Type]]=P$1, P$1,"rg:None")</f>
        <v>rg:None</v>
      </c>
      <c r="Q348" s="5" t="str">
        <f>IF(Table2[[#This Row],[!Type]]=Q$1, Q$1,"rg:None")</f>
        <v>rg:None</v>
      </c>
      <c r="R348" s="5" t="str">
        <f>IF(Table2[[#This Row],[!Type]]=R$1, R$1,"rg:None")</f>
        <v>rg:None</v>
      </c>
      <c r="S348" s="5" t="str">
        <f>IF(Table2[[#This Row],[!Type]]=S$1, S$1,"rg:None")</f>
        <v>rg:None</v>
      </c>
      <c r="T348" s="8" t="str">
        <f>IF(LEN(Table2[[#This Row],[!Length]]) &gt; 0, Table2[[#This Row],[!Length]], "rg:None")</f>
        <v>rg:None</v>
      </c>
      <c r="U348" s="8" t="str">
        <f>IF(LEN(Table2[[#This Row],[!Name]]) &gt; 0, Table2[[#This Row],[!Name]], "rg:None")</f>
        <v>active</v>
      </c>
      <c r="V348" s="8" t="str">
        <f>IF(LEN(Table2[[#This Row],[!Description]]) &gt; 0, Table2[[#This Row],[!Description]], "rg:None")</f>
        <v>A flag indicating the User is active in the group. Set false to remove the user from the designated group.</v>
      </c>
      <c r="W348" s="8" t="str">
        <f>IF(LEN(Table2[[#This Row],[!FK]])&gt;0,Table2[[#This Row],[!FK]],"rg:None")</f>
        <v>rg:None</v>
      </c>
      <c r="X348" s="8" t="str">
        <f>IF(LEN(concatif2(A:A,Table2[[#This Row],[!Table]],G:G,"Y",D:D,",")) &gt; 0,"rg:[ { 'req' : '"&amp;concatif2(A:A,Table2[[#This Row],[!Table]],G:G,"Y",D:D,"' }, { 'req': '")&amp;"'} ]","rg:[]")</f>
        <v>rg:[ { 'req' : 'id' }, { 'req': 'active' }, { 'req': 'group' }, { 'req': 'user'} ]</v>
      </c>
      <c r="Y348" s="8" t="str">
        <f>IF(LEN(Table2[[#This Row],[!Unique]])&gt;0,IF(Table2[[#This Row],[!Type]] = "id", "rg:None","rg:True"),"rg:None")</f>
        <v>rg:None</v>
      </c>
    </row>
    <row r="349" spans="1:25" x14ac:dyDescent="0.3">
      <c r="A349" s="5" t="s">
        <v>59</v>
      </c>
      <c r="B349" s="5" t="s">
        <v>8</v>
      </c>
      <c r="D349" s="5" t="s">
        <v>60</v>
      </c>
      <c r="E349" s="130" t="s">
        <v>544</v>
      </c>
      <c r="F349" s="5" t="s">
        <v>61</v>
      </c>
      <c r="G349" s="158" t="s">
        <v>62</v>
      </c>
      <c r="H349" s="4"/>
      <c r="I349" s="5" t="str">
        <f t="shared" si="31"/>
        <v>Defs</v>
      </c>
      <c r="J349" s="8" t="str">
        <f>IF(Table2[[#This Row],[!Type]]=J$1, J$1,"rg:None")</f>
        <v>rg:None</v>
      </c>
      <c r="K349" s="8" t="str">
        <f>IF(Table2[[#This Row],[!Type]]=K$1, K$1,"rg:None")</f>
        <v>rg:None</v>
      </c>
      <c r="L349" s="8" t="str">
        <f>IF(Table2[[#This Row],[!Type]]=L$1, L$1,"rg:None")</f>
        <v>rg:None</v>
      </c>
      <c r="M349" s="8" t="str">
        <f>IF(Table2[[#This Row],[!Type]]=M$1, M$1,"rg:None")</f>
        <v>rg:None</v>
      </c>
      <c r="N349" s="8" t="str">
        <f>IF(Table2[[#This Row],[!Type]]=N$1, N$1,"rg:None")</f>
        <v>rg:None</v>
      </c>
      <c r="O349" s="8" t="str">
        <f>IF(Table2[[#This Row],[!Type]]=O$1, O$1,"rg:None")</f>
        <v>rg:None</v>
      </c>
      <c r="P349" s="5" t="str">
        <f>IF(Table2[[#This Row],[!Type]]=P$1, P$1,"rg:None")</f>
        <v>rg:None</v>
      </c>
      <c r="Q349" s="5" t="str">
        <f>IF(Table2[[#This Row],[!Type]]=Q$1, Q$1,"rg:None")</f>
        <v>ref</v>
      </c>
      <c r="R349" s="5" t="str">
        <f>IF(Table2[[#This Row],[!Type]]=R$1, R$1,"rg:None")</f>
        <v>rg:None</v>
      </c>
      <c r="S349" s="5" t="str">
        <f>IF(Table2[[#This Row],[!Type]]=S$1, S$1,"rg:None")</f>
        <v>rg:None</v>
      </c>
      <c r="T349" s="8" t="str">
        <f>IF(LEN(Table2[[#This Row],[!Length]]) &gt; 0, Table2[[#This Row],[!Length]], "rg:None")</f>
        <v>rg:None</v>
      </c>
      <c r="U349" s="8" t="str">
        <f>IF(LEN(Table2[[#This Row],[!Name]]) &gt; 0, Table2[[#This Row],[!Name]], "rg:None")</f>
        <v>group</v>
      </c>
      <c r="V349" s="8" t="str">
        <f>IF(LEN(Table2[[#This Row],[!Description]]) &gt; 0, Table2[[#This Row],[!Description]], "rg:None")</f>
        <v>A foreign key reference to the system-generated unique identifier for a Group</v>
      </c>
      <c r="W349" s="8" t="str">
        <f>IF(LEN(Table2[[#This Row],[!FK]])&gt;0,Table2[[#This Row],[!FK]],"rg:None")</f>
        <v>Group</v>
      </c>
      <c r="X349" s="8" t="str">
        <f>IF(LEN(concatif2(A:A,Table2[[#This Row],[!Table]],G:G,"Y",D:D,",")) &gt; 0,"rg:[ { 'req' : '"&amp;concatif2(A:A,Table2[[#This Row],[!Table]],G:G,"Y",D:D,"' }, { 'req': '")&amp;"'} ]","rg:[]")</f>
        <v>rg:[ { 'req' : 'id' }, { 'req': 'active' }, { 'req': 'group' }, { 'req': 'user'} ]</v>
      </c>
      <c r="Y349" s="8" t="str">
        <f>IF(LEN(Table2[[#This Row],[!Unique]])&gt;0,IF(Table2[[#This Row],[!Type]] = "id", "rg:None","rg:True"),"rg:None")</f>
        <v>rg:None</v>
      </c>
    </row>
    <row r="350" spans="1:25" x14ac:dyDescent="0.3">
      <c r="A350" s="5" t="s">
        <v>59</v>
      </c>
      <c r="B350" s="5" t="s">
        <v>8</v>
      </c>
      <c r="D350" s="5" t="s">
        <v>40</v>
      </c>
      <c r="E350" s="130" t="s">
        <v>545</v>
      </c>
      <c r="F350" s="5" t="s">
        <v>0</v>
      </c>
      <c r="G350" s="158" t="s">
        <v>62</v>
      </c>
      <c r="H350" s="4"/>
      <c r="I350" s="5" t="str">
        <f t="shared" si="31"/>
        <v>Defs</v>
      </c>
      <c r="J350" s="8" t="str">
        <f>IF(Table2[[#This Row],[!Type]]=J$1, J$1,"rg:None")</f>
        <v>rg:None</v>
      </c>
      <c r="K350" s="8" t="str">
        <f>IF(Table2[[#This Row],[!Type]]=K$1, K$1,"rg:None")</f>
        <v>rg:None</v>
      </c>
      <c r="L350" s="8" t="str">
        <f>IF(Table2[[#This Row],[!Type]]=L$1, L$1,"rg:None")</f>
        <v>rg:None</v>
      </c>
      <c r="M350" s="8" t="str">
        <f>IF(Table2[[#This Row],[!Type]]=M$1, M$1,"rg:None")</f>
        <v>rg:None</v>
      </c>
      <c r="N350" s="8" t="str">
        <f>IF(Table2[[#This Row],[!Type]]=N$1, N$1,"rg:None")</f>
        <v>rg:None</v>
      </c>
      <c r="O350" s="8" t="str">
        <f>IF(Table2[[#This Row],[!Type]]=O$1, O$1,"rg:None")</f>
        <v>rg:None</v>
      </c>
      <c r="P350" s="5" t="str">
        <f>IF(Table2[[#This Row],[!Type]]=P$1, P$1,"rg:None")</f>
        <v>rg:None</v>
      </c>
      <c r="Q350" s="5" t="str">
        <f>IF(Table2[[#This Row],[!Type]]=Q$1, Q$1,"rg:None")</f>
        <v>ref</v>
      </c>
      <c r="R350" s="5" t="str">
        <f>IF(Table2[[#This Row],[!Type]]=R$1, R$1,"rg:None")</f>
        <v>rg:None</v>
      </c>
      <c r="S350" s="5" t="str">
        <f>IF(Table2[[#This Row],[!Type]]=S$1, S$1,"rg:None")</f>
        <v>rg:None</v>
      </c>
      <c r="T350" s="8" t="str">
        <f>IF(LEN(Table2[[#This Row],[!Length]]) &gt; 0, Table2[[#This Row],[!Length]], "rg:None")</f>
        <v>rg:None</v>
      </c>
      <c r="U350" s="8" t="str">
        <f>IF(LEN(Table2[[#This Row],[!Name]]) &gt; 0, Table2[[#This Row],[!Name]], "rg:None")</f>
        <v>user</v>
      </c>
      <c r="V350" s="8" t="str">
        <f>IF(LEN(Table2[[#This Row],[!Description]]) &gt; 0, Table2[[#This Row],[!Description]], "rg:None")</f>
        <v>A foreign key reference to the system-generated unique identifier for a User</v>
      </c>
      <c r="W350" s="8" t="str">
        <f>IF(LEN(Table2[[#This Row],[!FK]])&gt;0,Table2[[#This Row],[!FK]],"rg:None")</f>
        <v>User</v>
      </c>
      <c r="X350" s="8" t="str">
        <f>IF(LEN(concatif2(A:A,Table2[[#This Row],[!Table]],G:G,"Y",D:D,",")) &gt; 0,"rg:[ { 'req' : '"&amp;concatif2(A:A,Table2[[#This Row],[!Table]],G:G,"Y",D:D,"' }, { 'req': '")&amp;"'} ]","rg:[]")</f>
        <v>rg:[ { 'req' : 'id' }, { 'req': 'active' }, { 'req': 'group' }, { 'req': 'user'} ]</v>
      </c>
      <c r="Y350" s="8" t="str">
        <f>IF(LEN(Table2[[#This Row],[!Unique]])&gt;0,IF(Table2[[#This Row],[!Type]] = "id", "rg:None","rg:True"),"rg:None")</f>
        <v>rg:None</v>
      </c>
    </row>
    <row r="351" spans="1:25" ht="43.2" x14ac:dyDescent="0.3">
      <c r="A351" s="5" t="s">
        <v>61</v>
      </c>
      <c r="B351" s="5" t="s">
        <v>4</v>
      </c>
      <c r="D351" s="5" t="s">
        <v>61</v>
      </c>
      <c r="E351" s="76" t="s">
        <v>375</v>
      </c>
      <c r="F351" s="5" t="s">
        <v>5</v>
      </c>
      <c r="G351" s="4"/>
      <c r="H351" s="4"/>
      <c r="I351" s="5" t="str">
        <f t="shared" si="31"/>
        <v>Defs</v>
      </c>
      <c r="J351" s="8" t="str">
        <f>IF(Table2[[#This Row],[!Type]]=J$1, J$1,"rg:None")</f>
        <v>rg:None</v>
      </c>
      <c r="K351" s="8" t="str">
        <f>IF(Table2[[#This Row],[!Type]]=K$1, K$1,"rg:None")</f>
        <v>rg:None</v>
      </c>
      <c r="L351" s="8" t="str">
        <f>IF(Table2[[#This Row],[!Type]]=L$1, L$1,"rg:None")</f>
        <v>rg:None</v>
      </c>
      <c r="M351" s="8" t="str">
        <f>IF(Table2[[#This Row],[!Type]]=M$1, M$1,"rg:None")</f>
        <v>rg:None</v>
      </c>
      <c r="N351" s="8" t="str">
        <f>IF(Table2[[#This Row],[!Type]]=N$1, N$1,"rg:None")</f>
        <v>rg:None</v>
      </c>
      <c r="O351" s="8" t="str">
        <f>IF(Table2[[#This Row],[!Type]]=O$1, O$1,"rg:None")</f>
        <v>rg:None</v>
      </c>
      <c r="P351" s="5" t="str">
        <f>IF(Table2[[#This Row],[!Type]]=P$1, P$1,"rg:None")</f>
        <v>rg:None</v>
      </c>
      <c r="Q351" s="5" t="str">
        <f>IF(Table2[[#This Row],[!Type]]=Q$1, Q$1,"rg:None")</f>
        <v>rg:None</v>
      </c>
      <c r="R351" s="5" t="str">
        <f>IF(Table2[[#This Row],[!Type]]=R$1, R$1,"rg:None")</f>
        <v>rg:None</v>
      </c>
      <c r="S351" s="5" t="str">
        <f>IF(Table2[[#This Row],[!Type]]=S$1, S$1,"rg:None")</f>
        <v>table</v>
      </c>
      <c r="T351" s="8" t="str">
        <f>IF(LEN(Table2[[#This Row],[!Length]]) &gt; 0, Table2[[#This Row],[!Length]], "rg:None")</f>
        <v>rg:None</v>
      </c>
      <c r="U351" s="8" t="str">
        <f>IF(LEN(Table2[[#This Row],[!Name]]) &gt; 0, Table2[[#This Row],[!Name]], "rg:None")</f>
        <v>Group</v>
      </c>
      <c r="V35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51" s="8" t="str">
        <f>IF(LEN(Table2[[#This Row],[!FK]])&gt;0,Table2[[#This Row],[!FK]],"rg:None")</f>
        <v>rg:None</v>
      </c>
      <c r="X351" s="8" t="str">
        <f>IF(LEN(concatif2(A:A,Table2[[#This Row],[!Table]],G:G,"Y",D:D,",")) &gt; 0,"rg:[ { 'req' : '"&amp;concatif2(A:A,Table2[[#This Row],[!Table]],G:G,"Y",D:D,"' }, { 'req': '")&amp;"'} ]","rg:[]")</f>
        <v>rg:[ { 'req' : 'id' }, { 'req': 'name' }, { 'req': 'description'} ]</v>
      </c>
      <c r="Y351" s="8" t="str">
        <f>IF(LEN(Table2[[#This Row],[!Unique]])&gt;0,IF(Table2[[#This Row],[!Type]] = "id", "rg:None","rg:True"),"rg:None")</f>
        <v>rg:None</v>
      </c>
    </row>
    <row r="352" spans="1:25" x14ac:dyDescent="0.3">
      <c r="A352" s="5" t="s">
        <v>61</v>
      </c>
      <c r="B352" s="5" t="s">
        <v>6</v>
      </c>
      <c r="D352" s="5" t="s">
        <v>6</v>
      </c>
      <c r="E352" s="54" t="s">
        <v>344</v>
      </c>
      <c r="F352" s="5" t="s">
        <v>5</v>
      </c>
      <c r="G352" s="4" t="s">
        <v>62</v>
      </c>
      <c r="H352" s="158" t="s">
        <v>62</v>
      </c>
      <c r="I352" s="5" t="str">
        <f t="shared" si="31"/>
        <v>Defs</v>
      </c>
      <c r="J352" s="8" t="str">
        <f>IF(Table2[[#This Row],[!Type]]=J$1, J$1,"rg:None")</f>
        <v>rg:None</v>
      </c>
      <c r="K352" s="8" t="str">
        <f>IF(Table2[[#This Row],[!Type]]=K$1, K$1,"rg:None")</f>
        <v>rg:None</v>
      </c>
      <c r="L352" s="8" t="str">
        <f>IF(Table2[[#This Row],[!Type]]=L$1, L$1,"rg:None")</f>
        <v>rg:None</v>
      </c>
      <c r="M352" s="8" t="str">
        <f>IF(Table2[[#This Row],[!Type]]=M$1, M$1,"rg:None")</f>
        <v>id</v>
      </c>
      <c r="N352" s="8" t="str">
        <f>IF(Table2[[#This Row],[!Type]]=N$1, N$1,"rg:None")</f>
        <v>rg:None</v>
      </c>
      <c r="O352" s="8" t="str">
        <f>IF(Table2[[#This Row],[!Type]]=O$1, O$1,"rg:None")</f>
        <v>rg:None</v>
      </c>
      <c r="P352" s="5" t="str">
        <f>IF(Table2[[#This Row],[!Type]]=P$1, P$1,"rg:None")</f>
        <v>rg:None</v>
      </c>
      <c r="Q352" s="5" t="str">
        <f>IF(Table2[[#This Row],[!Type]]=Q$1, Q$1,"rg:None")</f>
        <v>rg:None</v>
      </c>
      <c r="R352" s="5" t="str">
        <f>IF(Table2[[#This Row],[!Type]]=R$1, R$1,"rg:None")</f>
        <v>rg:None</v>
      </c>
      <c r="S352" s="5" t="str">
        <f>IF(Table2[[#This Row],[!Type]]=S$1, S$1,"rg:None")</f>
        <v>rg:None</v>
      </c>
      <c r="T352" s="8" t="str">
        <f>IF(LEN(Table2[[#This Row],[!Length]]) &gt; 0, Table2[[#This Row],[!Length]], "rg:None")</f>
        <v>rg:None</v>
      </c>
      <c r="U352" s="8" t="str">
        <f>IF(LEN(Table2[[#This Row],[!Name]]) &gt; 0, Table2[[#This Row],[!Name]], "rg:None")</f>
        <v>id</v>
      </c>
      <c r="V352" s="8" t="str">
        <f>IF(LEN(Table2[[#This Row],[!Description]]) &gt; 0, Table2[[#This Row],[!Description]], "rg:None")</f>
        <v>A system-generated unique identifier for a Group</v>
      </c>
      <c r="W352" s="8" t="str">
        <f>IF(LEN(Table2[[#This Row],[!FK]])&gt;0,Table2[[#This Row],[!FK]],"rg:None")</f>
        <v>rg:None</v>
      </c>
      <c r="X352" s="8" t="str">
        <f>IF(LEN(concatif2(A:A,Table2[[#This Row],[!Table]],G:G,"Y",D:D,",")) &gt; 0,"rg:[ { 'req' : '"&amp;concatif2(A:A,Table2[[#This Row],[!Table]],G:G,"Y",D:D,"' }, { 'req': '")&amp;"'} ]","rg:[]")</f>
        <v>rg:[ { 'req' : 'id' }, { 'req': 'name' }, { 'req': 'description'} ]</v>
      </c>
      <c r="Y352" s="8" t="str">
        <f>IF(LEN(Table2[[#This Row],[!Unique]])&gt;0,IF(Table2[[#This Row],[!Type]] = "id", "rg:None","rg:True"),"rg:None")</f>
        <v>rg:None</v>
      </c>
    </row>
    <row r="353" spans="1:25" x14ac:dyDescent="0.3">
      <c r="A353" s="5" t="s">
        <v>61</v>
      </c>
      <c r="B353" s="5" t="s">
        <v>7</v>
      </c>
      <c r="C353" s="5">
        <v>150</v>
      </c>
      <c r="D353" s="5" t="s">
        <v>15</v>
      </c>
      <c r="E353" s="54" t="s">
        <v>345</v>
      </c>
      <c r="F353" s="5" t="s">
        <v>5</v>
      </c>
      <c r="G353" s="4" t="s">
        <v>62</v>
      </c>
      <c r="H353" s="158" t="s">
        <v>62</v>
      </c>
      <c r="I353" s="5" t="str">
        <f t="shared" si="31"/>
        <v>Defs</v>
      </c>
      <c r="J353" s="8" t="str">
        <f>IF(Table2[[#This Row],[!Type]]=J$1, J$1,"rg:None")</f>
        <v>rg:None</v>
      </c>
      <c r="K353" s="8" t="str">
        <f>IF(Table2[[#This Row],[!Type]]=K$1, K$1,"rg:None")</f>
        <v>rg:None</v>
      </c>
      <c r="L353" s="8" t="str">
        <f>IF(Table2[[#This Row],[!Type]]=L$1, L$1,"rg:None")</f>
        <v>rg:None</v>
      </c>
      <c r="M353" s="8" t="str">
        <f>IF(Table2[[#This Row],[!Type]]=M$1, M$1,"rg:None")</f>
        <v>rg:None</v>
      </c>
      <c r="N353" s="8" t="str">
        <f>IF(Table2[[#This Row],[!Type]]=N$1, N$1,"rg:None")</f>
        <v>rg:None</v>
      </c>
      <c r="O353" s="8" t="str">
        <f>IF(Table2[[#This Row],[!Type]]=O$1, O$1,"rg:None")</f>
        <v>rg:None</v>
      </c>
      <c r="P353" s="5" t="str">
        <f>IF(Table2[[#This Row],[!Type]]=P$1, P$1,"rg:None")</f>
        <v>rg:None</v>
      </c>
      <c r="Q353" s="5" t="str">
        <f>IF(Table2[[#This Row],[!Type]]=Q$1, Q$1,"rg:None")</f>
        <v>rg:None</v>
      </c>
      <c r="R353" s="5" t="str">
        <f>IF(Table2[[#This Row],[!Type]]=R$1, R$1,"rg:None")</f>
        <v>string</v>
      </c>
      <c r="S353" s="5" t="str">
        <f>IF(Table2[[#This Row],[!Type]]=S$1, S$1,"rg:None")</f>
        <v>rg:None</v>
      </c>
      <c r="T353" s="8">
        <f>IF(LEN(Table2[[#This Row],[!Length]]) &gt; 0, Table2[[#This Row],[!Length]], "rg:None")</f>
        <v>150</v>
      </c>
      <c r="U353" s="8" t="str">
        <f>IF(LEN(Table2[[#This Row],[!Name]]) &gt; 0, Table2[[#This Row],[!Name]], "rg:None")</f>
        <v>name</v>
      </c>
      <c r="V353" s="8" t="str">
        <f>IF(LEN(Table2[[#This Row],[!Description]]) &gt; 0, Table2[[#This Row],[!Description]], "rg:None")</f>
        <v>The name of the group, as refenced in the code.</v>
      </c>
      <c r="W353" s="8" t="str">
        <f>IF(LEN(Table2[[#This Row],[!FK]])&gt;0,Table2[[#This Row],[!FK]],"rg:None")</f>
        <v>rg:None</v>
      </c>
      <c r="X353" s="8" t="str">
        <f>IF(LEN(concatif2(A:A,Table2[[#This Row],[!Table]],G:G,"Y",D:D,",")) &gt; 0,"rg:[ { 'req' : '"&amp;concatif2(A:A,Table2[[#This Row],[!Table]],G:G,"Y",D:D,"' }, { 'req': '")&amp;"'} ]","rg:[]")</f>
        <v>rg:[ { 'req' : 'id' }, { 'req': 'name' }, { 'req': 'description'} ]</v>
      </c>
      <c r="Y353" s="8" t="str">
        <f>IF(LEN(Table2[[#This Row],[!Unique]])&gt;0,IF(Table2[[#This Row],[!Type]] = "id", "rg:None","rg:True"),"rg:None")</f>
        <v>rg:True</v>
      </c>
    </row>
    <row r="354" spans="1:25" ht="28.8" x14ac:dyDescent="0.3">
      <c r="A354" s="5" t="s">
        <v>61</v>
      </c>
      <c r="B354" s="5" t="s">
        <v>7</v>
      </c>
      <c r="C354" s="5">
        <v>2048</v>
      </c>
      <c r="D354" s="5" t="s">
        <v>14</v>
      </c>
      <c r="E354" s="54" t="s">
        <v>346</v>
      </c>
      <c r="F354" s="5" t="s">
        <v>5</v>
      </c>
      <c r="G354" s="4" t="s">
        <v>62</v>
      </c>
      <c r="H354" s="4"/>
      <c r="I354" s="5" t="str">
        <f t="shared" si="31"/>
        <v>Defs</v>
      </c>
      <c r="J354" s="8" t="str">
        <f>IF(Table2[[#This Row],[!Type]]=J$1, J$1,"rg:None")</f>
        <v>rg:None</v>
      </c>
      <c r="K354" s="8" t="str">
        <f>IF(Table2[[#This Row],[!Type]]=K$1, K$1,"rg:None")</f>
        <v>rg:None</v>
      </c>
      <c r="L354" s="8" t="str">
        <f>IF(Table2[[#This Row],[!Type]]=L$1, L$1,"rg:None")</f>
        <v>rg:None</v>
      </c>
      <c r="M354" s="8" t="str">
        <f>IF(Table2[[#This Row],[!Type]]=M$1, M$1,"rg:None")</f>
        <v>rg:None</v>
      </c>
      <c r="N354" s="8" t="str">
        <f>IF(Table2[[#This Row],[!Type]]=N$1, N$1,"rg:None")</f>
        <v>rg:None</v>
      </c>
      <c r="O354" s="8" t="str">
        <f>IF(Table2[[#This Row],[!Type]]=O$1, O$1,"rg:None")</f>
        <v>rg:None</v>
      </c>
      <c r="P354" s="5" t="str">
        <f>IF(Table2[[#This Row],[!Type]]=P$1, P$1,"rg:None")</f>
        <v>rg:None</v>
      </c>
      <c r="Q354" s="5" t="str">
        <f>IF(Table2[[#This Row],[!Type]]=Q$1, Q$1,"rg:None")</f>
        <v>rg:None</v>
      </c>
      <c r="R354" s="5" t="str">
        <f>IF(Table2[[#This Row],[!Type]]=R$1, R$1,"rg:None")</f>
        <v>string</v>
      </c>
      <c r="S354" s="5" t="str">
        <f>IF(Table2[[#This Row],[!Type]]=S$1, S$1,"rg:None")</f>
        <v>rg:None</v>
      </c>
      <c r="T354" s="8">
        <f>IF(LEN(Table2[[#This Row],[!Length]]) &gt; 0, Table2[[#This Row],[!Length]], "rg:None")</f>
        <v>2048</v>
      </c>
      <c r="U354" s="8" t="str">
        <f>IF(LEN(Table2[[#This Row],[!Name]]) &gt; 0, Table2[[#This Row],[!Name]], "rg:None")</f>
        <v>description</v>
      </c>
      <c r="V354" s="8" t="str">
        <f>IF(LEN(Table2[[#This Row],[!Description]]) &gt; 0, Table2[[#This Row],[!Description]], "rg:None")</f>
        <v>A description of the group that is presented to the user when they are setting a user into a group.</v>
      </c>
      <c r="W354" s="8" t="str">
        <f>IF(LEN(Table2[[#This Row],[!FK]])&gt;0,Table2[[#This Row],[!FK]],"rg:None")</f>
        <v>rg:None</v>
      </c>
      <c r="X354" s="8" t="str">
        <f>IF(LEN(concatif2(A:A,Table2[[#This Row],[!Table]],G:G,"Y",D:D,",")) &gt; 0,"rg:[ { 'req' : '"&amp;concatif2(A:A,Table2[[#This Row],[!Table]],G:G,"Y",D:D,"' }, { 'req': '")&amp;"'} ]","rg:[]")</f>
        <v>rg:[ { 'req' : 'id' }, { 'req': 'name' }, { 'req': 'description'} ]</v>
      </c>
      <c r="Y354" s="8" t="str">
        <f>IF(LEN(Table2[[#This Row],[!Unique]])&gt;0,IF(Table2[[#This Row],[!Type]] = "id", "rg:None","rg:True"),"rg:None")</f>
        <v>rg:None</v>
      </c>
    </row>
    <row r="355" spans="1:25" x14ac:dyDescent="0.3">
      <c r="A355" s="164" t="s">
        <v>596</v>
      </c>
      <c r="B355" s="164" t="s">
        <v>4</v>
      </c>
      <c r="C355" s="72"/>
      <c r="D355" s="164" t="s">
        <v>596</v>
      </c>
      <c r="E355" s="47"/>
      <c r="F355" s="12"/>
      <c r="G355" s="18"/>
      <c r="H355" s="18"/>
      <c r="I355" s="4" t="str">
        <f t="shared" ref="I355:I363" si="32">IF(LEN(A355) &gt; 0,"Defs","-")</f>
        <v>Defs</v>
      </c>
      <c r="J355" s="14" t="str">
        <f>IF(Table2[[#This Row],[!Type]]=J$1, J$1,"rg:None")</f>
        <v>rg:None</v>
      </c>
      <c r="K355" s="14" t="str">
        <f>IF(Table2[[#This Row],[!Type]]=K$1, K$1,"rg:None")</f>
        <v>rg:None</v>
      </c>
      <c r="L355" s="14" t="str">
        <f>IF(Table2[[#This Row],[!Type]]=L$1, L$1,"rg:None")</f>
        <v>rg:None</v>
      </c>
      <c r="M355" s="14" t="str">
        <f>IF(Table2[[#This Row],[!Type]]=M$1, M$1,"rg:None")</f>
        <v>rg:None</v>
      </c>
      <c r="N355" s="14" t="str">
        <f>IF(Table2[[#This Row],[!Type]]=N$1, N$1,"rg:None")</f>
        <v>rg:None</v>
      </c>
      <c r="O355" s="14" t="str">
        <f>IF(Table2[[#This Row],[!Type]]=O$1, O$1,"rg:None")</f>
        <v>rg:None</v>
      </c>
      <c r="P355" s="4" t="str">
        <f>IF(Table2[[#This Row],[!Type]]=P$1, P$1,"rg:None")</f>
        <v>rg:None</v>
      </c>
      <c r="Q355" s="4" t="str">
        <f>IF(Table2[[#This Row],[!Type]]=Q$1, Q$1,"rg:None")</f>
        <v>rg:None</v>
      </c>
      <c r="R355" s="4" t="str">
        <f>IF(Table2[[#This Row],[!Type]]=R$1, R$1,"rg:None")</f>
        <v>rg:None</v>
      </c>
      <c r="S355" s="4" t="str">
        <f>IF(Table2[[#This Row],[!Type]]=S$1, S$1,"rg:None")</f>
        <v>table</v>
      </c>
      <c r="T355" s="14" t="str">
        <f>IF(LEN(Table2[[#This Row],[!Length]]) &gt; 0, Table2[[#This Row],[!Length]], "rg:None")</f>
        <v>rg:None</v>
      </c>
      <c r="U355" s="14" t="str">
        <f>IF(LEN(Table2[[#This Row],[!Name]]) &gt; 0, Table2[[#This Row],[!Name]], "rg:None")</f>
        <v>ImportMap</v>
      </c>
      <c r="V355" s="14" t="str">
        <f>IF(LEN(Table2[[#This Row],[!Description]]) &gt; 0, Table2[[#This Row],[!Description]], "rg:None")</f>
        <v>rg:None</v>
      </c>
      <c r="W355" s="14" t="str">
        <f>IF(LEN(Table2[[#This Row],[!FK]])&gt;0,Table2[[#This Row],[!FK]],"rg:None")</f>
        <v>rg:None</v>
      </c>
      <c r="X355" s="14" t="str">
        <f>IF(LEN(concatif2(A:A,Table2[[#This Row],[!Table]],G:G,"Y",D:D,",")) &gt; 0,"rg:[ { 'req' : '"&amp;concatif2(A:A,Table2[[#This Row],[!Table]],G:G,"Y",D:D,"' }, { 'req': '")&amp;"'} ]","rg:[]")</f>
        <v>rg:[ { 'req' : 'id' }, { 'req': 'oldTable' }, { 'req': 'newTable' }, { 'req': 'oldKey' }, { 'req': 'newKey'} ]</v>
      </c>
      <c r="Y355" s="14" t="str">
        <f>IF(LEN(Table2[[#This Row],[!Unique]])&gt;0,IF(Table2[[#This Row],[!Type]] = "id", "rg:None","rg:True"),"rg:None")</f>
        <v>rg:None</v>
      </c>
    </row>
    <row r="356" spans="1:25" x14ac:dyDescent="0.3">
      <c r="A356" s="164" t="s">
        <v>596</v>
      </c>
      <c r="B356" s="164" t="s">
        <v>6</v>
      </c>
      <c r="C356" s="72"/>
      <c r="D356" s="164" t="s">
        <v>6</v>
      </c>
      <c r="E356" s="175" t="s">
        <v>598</v>
      </c>
      <c r="F356" s="12"/>
      <c r="G356" s="166" t="s">
        <v>62</v>
      </c>
      <c r="H356" s="166" t="s">
        <v>62</v>
      </c>
      <c r="I356" s="4" t="str">
        <f t="shared" si="32"/>
        <v>Defs</v>
      </c>
      <c r="J356" s="14" t="str">
        <f>IF(Table2[[#This Row],[!Type]]=J$1, J$1,"rg:None")</f>
        <v>rg:None</v>
      </c>
      <c r="K356" s="14" t="str">
        <f>IF(Table2[[#This Row],[!Type]]=K$1, K$1,"rg:None")</f>
        <v>rg:None</v>
      </c>
      <c r="L356" s="14" t="str">
        <f>IF(Table2[[#This Row],[!Type]]=L$1, L$1,"rg:None")</f>
        <v>rg:None</v>
      </c>
      <c r="M356" s="14" t="str">
        <f>IF(Table2[[#This Row],[!Type]]=M$1, M$1,"rg:None")</f>
        <v>id</v>
      </c>
      <c r="N356" s="14" t="str">
        <f>IF(Table2[[#This Row],[!Type]]=N$1, N$1,"rg:None")</f>
        <v>rg:None</v>
      </c>
      <c r="O356" s="14" t="str">
        <f>IF(Table2[[#This Row],[!Type]]=O$1, O$1,"rg:None")</f>
        <v>rg:None</v>
      </c>
      <c r="P356" s="4" t="str">
        <f>IF(Table2[[#This Row],[!Type]]=P$1, P$1,"rg:None")</f>
        <v>rg:None</v>
      </c>
      <c r="Q356" s="4" t="str">
        <f>IF(Table2[[#This Row],[!Type]]=Q$1, Q$1,"rg:None")</f>
        <v>rg:None</v>
      </c>
      <c r="R356" s="4" t="str">
        <f>IF(Table2[[#This Row],[!Type]]=R$1, R$1,"rg:None")</f>
        <v>rg:None</v>
      </c>
      <c r="S356" s="4" t="str">
        <f>IF(Table2[[#This Row],[!Type]]=S$1, S$1,"rg:None")</f>
        <v>rg:None</v>
      </c>
      <c r="T356" s="14" t="str">
        <f>IF(LEN(Table2[[#This Row],[!Length]]) &gt; 0, Table2[[#This Row],[!Length]], "rg:None")</f>
        <v>rg:None</v>
      </c>
      <c r="U356" s="14" t="str">
        <f>IF(LEN(Table2[[#This Row],[!Name]]) &gt; 0, Table2[[#This Row],[!Name]], "rg:None")</f>
        <v>id</v>
      </c>
      <c r="V356" s="14" t="str">
        <f>IF(LEN(Table2[[#This Row],[!Description]]) &gt; 0, Table2[[#This Row],[!Description]], "rg:None")</f>
        <v>A system generated unique identifier for the ImportMap</v>
      </c>
      <c r="W356" s="14" t="str">
        <f>IF(LEN(Table2[[#This Row],[!FK]])&gt;0,Table2[[#This Row],[!FK]],"rg:None")</f>
        <v>rg:None</v>
      </c>
      <c r="X356" s="14" t="str">
        <f>IF(LEN(concatif2(A:A,Table2[[#This Row],[!Table]],G:G,"Y",D:D,",")) &gt; 0,"rg:[ { 'req' : '"&amp;concatif2(A:A,Table2[[#This Row],[!Table]],G:G,"Y",D:D,"' }, { 'req': '")&amp;"'} ]","rg:[]")</f>
        <v>rg:[ { 'req' : 'id' }, { 'req': 'oldTable' }, { 'req': 'newTable' }, { 'req': 'oldKey' }, { 'req': 'newKey'} ]</v>
      </c>
      <c r="Y356" s="14" t="str">
        <f>IF(LEN(Table2[[#This Row],[!Unique]])&gt;0,IF(Table2[[#This Row],[!Type]] = "id", "rg:None","rg:True"),"rg:None")</f>
        <v>rg:None</v>
      </c>
    </row>
    <row r="357" spans="1:25" x14ac:dyDescent="0.3">
      <c r="A357" s="164" t="s">
        <v>596</v>
      </c>
      <c r="B357" s="164" t="s">
        <v>7</v>
      </c>
      <c r="C357" s="72"/>
      <c r="D357" s="164" t="s">
        <v>597</v>
      </c>
      <c r="E357" s="165" t="s">
        <v>599</v>
      </c>
      <c r="F357" s="12"/>
      <c r="G357" s="166" t="s">
        <v>62</v>
      </c>
      <c r="H357" s="18"/>
      <c r="I357" s="4" t="str">
        <f t="shared" si="32"/>
        <v>Defs</v>
      </c>
      <c r="J357" s="14" t="str">
        <f>IF(Table2[[#This Row],[!Type]]=J$1, J$1,"rg:None")</f>
        <v>rg:None</v>
      </c>
      <c r="K357" s="14" t="str">
        <f>IF(Table2[[#This Row],[!Type]]=K$1, K$1,"rg:None")</f>
        <v>rg:None</v>
      </c>
      <c r="L357" s="14" t="str">
        <f>IF(Table2[[#This Row],[!Type]]=L$1, L$1,"rg:None")</f>
        <v>rg:None</v>
      </c>
      <c r="M357" s="14" t="str">
        <f>IF(Table2[[#This Row],[!Type]]=M$1, M$1,"rg:None")</f>
        <v>rg:None</v>
      </c>
      <c r="N357" s="14" t="str">
        <f>IF(Table2[[#This Row],[!Type]]=N$1, N$1,"rg:None")</f>
        <v>rg:None</v>
      </c>
      <c r="O357" s="14" t="str">
        <f>IF(Table2[[#This Row],[!Type]]=O$1, O$1,"rg:None")</f>
        <v>rg:None</v>
      </c>
      <c r="P357" s="4" t="str">
        <f>IF(Table2[[#This Row],[!Type]]=P$1, P$1,"rg:None")</f>
        <v>rg:None</v>
      </c>
      <c r="Q357" s="4" t="str">
        <f>IF(Table2[[#This Row],[!Type]]=Q$1, Q$1,"rg:None")</f>
        <v>rg:None</v>
      </c>
      <c r="R357" s="4" t="str">
        <f>IF(Table2[[#This Row],[!Type]]=R$1, R$1,"rg:None")</f>
        <v>string</v>
      </c>
      <c r="S357" s="4" t="str">
        <f>IF(Table2[[#This Row],[!Type]]=S$1, S$1,"rg:None")</f>
        <v>rg:None</v>
      </c>
      <c r="T357" s="14" t="str">
        <f>IF(LEN(Table2[[#This Row],[!Length]]) &gt; 0, Table2[[#This Row],[!Length]], "rg:None")</f>
        <v>rg:None</v>
      </c>
      <c r="U357" s="14" t="str">
        <f>IF(LEN(Table2[[#This Row],[!Name]]) &gt; 0, Table2[[#This Row],[!Name]], "rg:None")</f>
        <v>oldTable</v>
      </c>
      <c r="V357" s="14" t="str">
        <f>IF(LEN(Table2[[#This Row],[!Description]]) &gt; 0, Table2[[#This Row],[!Description]], "rg:None")</f>
        <v>Table name in old system</v>
      </c>
      <c r="W357" s="14" t="str">
        <f>IF(LEN(Table2[[#This Row],[!FK]])&gt;0,Table2[[#This Row],[!FK]],"rg:None")</f>
        <v>rg:None</v>
      </c>
      <c r="X357" s="14" t="str">
        <f>IF(LEN(concatif2(A:A,Table2[[#This Row],[!Table]],G:G,"Y",D:D,",")) &gt; 0,"rg:[ { 'req' : '"&amp;concatif2(A:A,Table2[[#This Row],[!Table]],G:G,"Y",D:D,"' }, { 'req': '")&amp;"'} ]","rg:[]")</f>
        <v>rg:[ { 'req' : 'id' }, { 'req': 'oldTable' }, { 'req': 'newTable' }, { 'req': 'oldKey' }, { 'req': 'newKey'} ]</v>
      </c>
      <c r="Y357" s="14" t="str">
        <f>IF(LEN(Table2[[#This Row],[!Unique]])&gt;0,IF(Table2[[#This Row],[!Type]] = "id", "rg:None","rg:True"),"rg:None")</f>
        <v>rg:None</v>
      </c>
    </row>
    <row r="358" spans="1:25" x14ac:dyDescent="0.3">
      <c r="A358" s="164" t="s">
        <v>596</v>
      </c>
      <c r="B358" s="164" t="s">
        <v>7</v>
      </c>
      <c r="C358" s="72"/>
      <c r="D358" s="164" t="s">
        <v>600</v>
      </c>
      <c r="E358" s="165" t="s">
        <v>601</v>
      </c>
      <c r="F358" s="12"/>
      <c r="G358" s="166" t="s">
        <v>62</v>
      </c>
      <c r="H358" s="18"/>
      <c r="I358" s="4" t="str">
        <f t="shared" si="32"/>
        <v>Defs</v>
      </c>
      <c r="J358" s="14" t="str">
        <f>IF(Table2[[#This Row],[!Type]]=J$1, J$1,"rg:None")</f>
        <v>rg:None</v>
      </c>
      <c r="K358" s="14" t="str">
        <f>IF(Table2[[#This Row],[!Type]]=K$1, K$1,"rg:None")</f>
        <v>rg:None</v>
      </c>
      <c r="L358" s="14" t="str">
        <f>IF(Table2[[#This Row],[!Type]]=L$1, L$1,"rg:None")</f>
        <v>rg:None</v>
      </c>
      <c r="M358" s="14" t="str">
        <f>IF(Table2[[#This Row],[!Type]]=M$1, M$1,"rg:None")</f>
        <v>rg:None</v>
      </c>
      <c r="N358" s="14" t="str">
        <f>IF(Table2[[#This Row],[!Type]]=N$1, N$1,"rg:None")</f>
        <v>rg:None</v>
      </c>
      <c r="O358" s="14" t="str">
        <f>IF(Table2[[#This Row],[!Type]]=O$1, O$1,"rg:None")</f>
        <v>rg:None</v>
      </c>
      <c r="P358" s="4" t="str">
        <f>IF(Table2[[#This Row],[!Type]]=P$1, P$1,"rg:None")</f>
        <v>rg:None</v>
      </c>
      <c r="Q358" s="4" t="str">
        <f>IF(Table2[[#This Row],[!Type]]=Q$1, Q$1,"rg:None")</f>
        <v>rg:None</v>
      </c>
      <c r="R358" s="4" t="str">
        <f>IF(Table2[[#This Row],[!Type]]=R$1, R$1,"rg:None")</f>
        <v>string</v>
      </c>
      <c r="S358" s="4" t="str">
        <f>IF(Table2[[#This Row],[!Type]]=S$1, S$1,"rg:None")</f>
        <v>rg:None</v>
      </c>
      <c r="T358" s="14" t="str">
        <f>IF(LEN(Table2[[#This Row],[!Length]]) &gt; 0, Table2[[#This Row],[!Length]], "rg:None")</f>
        <v>rg:None</v>
      </c>
      <c r="U358" s="14" t="str">
        <f>IF(LEN(Table2[[#This Row],[!Name]]) &gt; 0, Table2[[#This Row],[!Name]], "rg:None")</f>
        <v>newTable</v>
      </c>
      <c r="V358" s="14" t="str">
        <f>IF(LEN(Table2[[#This Row],[!Description]]) &gt; 0, Table2[[#This Row],[!Description]], "rg:None")</f>
        <v>Table name in new system.</v>
      </c>
      <c r="W358" s="14" t="str">
        <f>IF(LEN(Table2[[#This Row],[!FK]])&gt;0,Table2[[#This Row],[!FK]],"rg:None")</f>
        <v>rg:None</v>
      </c>
      <c r="X358" s="14" t="str">
        <f>IF(LEN(concatif2(A:A,Table2[[#This Row],[!Table]],G:G,"Y",D:D,",")) &gt; 0,"rg:[ { 'req' : '"&amp;concatif2(A:A,Table2[[#This Row],[!Table]],G:G,"Y",D:D,"' }, { 'req': '")&amp;"'} ]","rg:[]")</f>
        <v>rg:[ { 'req' : 'id' }, { 'req': 'oldTable' }, { 'req': 'newTable' }, { 'req': 'oldKey' }, { 'req': 'newKey'} ]</v>
      </c>
      <c r="Y358" s="14" t="str">
        <f>IF(LEN(Table2[[#This Row],[!Unique]])&gt;0,IF(Table2[[#This Row],[!Type]] = "id", "rg:None","rg:True"),"rg:None")</f>
        <v>rg:None</v>
      </c>
    </row>
    <row r="359" spans="1:25" x14ac:dyDescent="0.3">
      <c r="A359" s="164" t="s">
        <v>596</v>
      </c>
      <c r="B359" s="167" t="s">
        <v>7</v>
      </c>
      <c r="C359" s="72">
        <v>250</v>
      </c>
      <c r="D359" s="164" t="s">
        <v>602</v>
      </c>
      <c r="E359" s="165" t="s">
        <v>603</v>
      </c>
      <c r="F359" s="12"/>
      <c r="G359" s="166" t="s">
        <v>62</v>
      </c>
      <c r="H359" s="18"/>
      <c r="I359" s="4" t="str">
        <f t="shared" si="32"/>
        <v>Defs</v>
      </c>
      <c r="J359" s="14" t="str">
        <f>IF(Table2[[#This Row],[!Type]]=J$1, J$1,"rg:None")</f>
        <v>rg:None</v>
      </c>
      <c r="K359" s="14" t="str">
        <f>IF(Table2[[#This Row],[!Type]]=K$1, K$1,"rg:None")</f>
        <v>rg:None</v>
      </c>
      <c r="L359" s="14" t="str">
        <f>IF(Table2[[#This Row],[!Type]]=L$1, L$1,"rg:None")</f>
        <v>rg:None</v>
      </c>
      <c r="M359" s="14" t="str">
        <f>IF(Table2[[#This Row],[!Type]]=M$1, M$1,"rg:None")</f>
        <v>rg:None</v>
      </c>
      <c r="N359" s="14" t="str">
        <f>IF(Table2[[#This Row],[!Type]]=N$1, N$1,"rg:None")</f>
        <v>rg:None</v>
      </c>
      <c r="O359" s="14" t="str">
        <f>IF(Table2[[#This Row],[!Type]]=O$1, O$1,"rg:None")</f>
        <v>rg:None</v>
      </c>
      <c r="P359" s="4" t="str">
        <f>IF(Table2[[#This Row],[!Type]]=P$1, P$1,"rg:None")</f>
        <v>rg:None</v>
      </c>
      <c r="Q359" s="4" t="str">
        <f>IF(Table2[[#This Row],[!Type]]=Q$1, Q$1,"rg:None")</f>
        <v>rg:None</v>
      </c>
      <c r="R359" s="4" t="str">
        <f>IF(Table2[[#This Row],[!Type]]=R$1, R$1,"rg:None")</f>
        <v>string</v>
      </c>
      <c r="S359" s="4" t="str">
        <f>IF(Table2[[#This Row],[!Type]]=S$1, S$1,"rg:None")</f>
        <v>rg:None</v>
      </c>
      <c r="T359" s="14">
        <f>IF(LEN(Table2[[#This Row],[!Length]]) &gt; 0, Table2[[#This Row],[!Length]], "rg:None")</f>
        <v>250</v>
      </c>
      <c r="U359" s="14" t="str">
        <f>IF(LEN(Table2[[#This Row],[!Name]]) &gt; 0, Table2[[#This Row],[!Name]], "rg:None")</f>
        <v>oldKey</v>
      </c>
      <c r="V359" s="14" t="str">
        <f>IF(LEN(Table2[[#This Row],[!Description]]) &gt; 0, Table2[[#This Row],[!Description]], "rg:None")</f>
        <v>Old primary key for record</v>
      </c>
      <c r="W359" s="14" t="str">
        <f>IF(LEN(Table2[[#This Row],[!FK]])&gt;0,Table2[[#This Row],[!FK]],"rg:None")</f>
        <v>rg:None</v>
      </c>
      <c r="X359" s="14" t="str">
        <f>IF(LEN(concatif2(A:A,Table2[[#This Row],[!Table]],G:G,"Y",D:D,",")) &gt; 0,"rg:[ { 'req' : '"&amp;concatif2(A:A,Table2[[#This Row],[!Table]],G:G,"Y",D:D,"' }, { 'req': '")&amp;"'} ]","rg:[]")</f>
        <v>rg:[ { 'req' : 'id' }, { 'req': 'oldTable' }, { 'req': 'newTable' }, { 'req': 'oldKey' }, { 'req': 'newKey'} ]</v>
      </c>
      <c r="Y359" s="14" t="str">
        <f>IF(LEN(Table2[[#This Row],[!Unique]])&gt;0,IF(Table2[[#This Row],[!Type]] = "id", "rg:None","rg:True"),"rg:None")</f>
        <v>rg:None</v>
      </c>
    </row>
    <row r="360" spans="1:25" x14ac:dyDescent="0.3">
      <c r="A360" s="164" t="s">
        <v>596</v>
      </c>
      <c r="B360" s="164" t="s">
        <v>13</v>
      </c>
      <c r="C360" s="72"/>
      <c r="D360" s="164" t="s">
        <v>604</v>
      </c>
      <c r="E360" s="165" t="s">
        <v>605</v>
      </c>
      <c r="F360" s="12"/>
      <c r="G360" s="166" t="s">
        <v>62</v>
      </c>
      <c r="H360" s="18"/>
      <c r="I360" s="4" t="str">
        <f t="shared" si="32"/>
        <v>Defs</v>
      </c>
      <c r="J360" s="14" t="str">
        <f>IF(Table2[[#This Row],[!Type]]=J$1, J$1,"rg:None")</f>
        <v>rg:None</v>
      </c>
      <c r="K360" s="14" t="str">
        <f>IF(Table2[[#This Row],[!Type]]=K$1, K$1,"rg:None")</f>
        <v>rg:None</v>
      </c>
      <c r="L360" s="14" t="str">
        <f>IF(Table2[[#This Row],[!Type]]=L$1, L$1,"rg:None")</f>
        <v>rg:None</v>
      </c>
      <c r="M360" s="14" t="str">
        <f>IF(Table2[[#This Row],[!Type]]=M$1, M$1,"rg:None")</f>
        <v>rg:None</v>
      </c>
      <c r="N360" s="14" t="str">
        <f>IF(Table2[[#This Row],[!Type]]=N$1, N$1,"rg:None")</f>
        <v>integer</v>
      </c>
      <c r="O360" s="14" t="str">
        <f>IF(Table2[[#This Row],[!Type]]=O$1, O$1,"rg:None")</f>
        <v>rg:None</v>
      </c>
      <c r="P360" s="4" t="str">
        <f>IF(Table2[[#This Row],[!Type]]=P$1, P$1,"rg:None")</f>
        <v>rg:None</v>
      </c>
      <c r="Q360" s="4" t="str">
        <f>IF(Table2[[#This Row],[!Type]]=Q$1, Q$1,"rg:None")</f>
        <v>rg:None</v>
      </c>
      <c r="R360" s="4" t="str">
        <f>IF(Table2[[#This Row],[!Type]]=R$1, R$1,"rg:None")</f>
        <v>rg:None</v>
      </c>
      <c r="S360" s="4" t="str">
        <f>IF(Table2[[#This Row],[!Type]]=S$1, S$1,"rg:None")</f>
        <v>rg:None</v>
      </c>
      <c r="T360" s="14" t="str">
        <f>IF(LEN(Table2[[#This Row],[!Length]]) &gt; 0, Table2[[#This Row],[!Length]], "rg:None")</f>
        <v>rg:None</v>
      </c>
      <c r="U360" s="14" t="str">
        <f>IF(LEN(Table2[[#This Row],[!Name]]) &gt; 0, Table2[[#This Row],[!Name]], "rg:None")</f>
        <v>newKey</v>
      </c>
      <c r="V360" s="14" t="str">
        <f>IF(LEN(Table2[[#This Row],[!Description]]) &gt; 0, Table2[[#This Row],[!Description]], "rg:None")</f>
        <v>New primary key for record</v>
      </c>
      <c r="W360" s="14" t="str">
        <f>IF(LEN(Table2[[#This Row],[!FK]])&gt;0,Table2[[#This Row],[!FK]],"rg:None")</f>
        <v>rg:None</v>
      </c>
      <c r="X360" s="14" t="str">
        <f>IF(LEN(concatif2(A:A,Table2[[#This Row],[!Table]],G:G,"Y",D:D,",")) &gt; 0,"rg:[ { 'req' : '"&amp;concatif2(A:A,Table2[[#This Row],[!Table]],G:G,"Y",D:D,"' }, { 'req': '")&amp;"'} ]","rg:[]")</f>
        <v>rg:[ { 'req' : 'id' }, { 'req': 'oldTable' }, { 'req': 'newTable' }, { 'req': 'oldKey' }, { 'req': 'newKey'} ]</v>
      </c>
      <c r="Y360" s="14" t="str">
        <f>IF(LEN(Table2[[#This Row],[!Unique]])&gt;0,IF(Table2[[#This Row],[!Type]] = "id", "rg:None","rg:True"),"rg:None")</f>
        <v>rg:None</v>
      </c>
    </row>
    <row r="361" spans="1:25" x14ac:dyDescent="0.3">
      <c r="A361" s="171" t="s">
        <v>609</v>
      </c>
      <c r="B361" s="5" t="s">
        <v>4</v>
      </c>
      <c r="D361" s="171" t="s">
        <v>609</v>
      </c>
      <c r="E361" s="172" t="s">
        <v>610</v>
      </c>
      <c r="F361" s="5" t="s">
        <v>5</v>
      </c>
      <c r="G361" s="4"/>
      <c r="H361" s="4"/>
      <c r="I361" s="5" t="str">
        <f t="shared" si="32"/>
        <v>Defs</v>
      </c>
      <c r="J361" s="8" t="str">
        <f>IF(Table2[[#This Row],[!Type]]=J$1, J$1,"rg:None")</f>
        <v>rg:None</v>
      </c>
      <c r="K361" s="8" t="str">
        <f>IF(Table2[[#This Row],[!Type]]=K$1, K$1,"rg:None")</f>
        <v>rg:None</v>
      </c>
      <c r="L361" s="8" t="str">
        <f>IF(Table2[[#This Row],[!Type]]=L$1, L$1,"rg:None")</f>
        <v>rg:None</v>
      </c>
      <c r="M361" s="8" t="str">
        <f>IF(Table2[[#This Row],[!Type]]=M$1, M$1,"rg:None")</f>
        <v>rg:None</v>
      </c>
      <c r="N361" s="8" t="str">
        <f>IF(Table2[[#This Row],[!Type]]=N$1, N$1,"rg:None")</f>
        <v>rg:None</v>
      </c>
      <c r="O361" s="8" t="str">
        <f>IF(Table2[[#This Row],[!Type]]=O$1, O$1,"rg:None")</f>
        <v>rg:None</v>
      </c>
      <c r="P361" s="5" t="str">
        <f>IF(Table2[[#This Row],[!Type]]=P$1, P$1,"rg:None")</f>
        <v>rg:None</v>
      </c>
      <c r="Q361" s="5" t="str">
        <f>IF(Table2[[#This Row],[!Type]]=Q$1, Q$1,"rg:None")</f>
        <v>rg:None</v>
      </c>
      <c r="R361" s="5" t="str">
        <f>IF(Table2[[#This Row],[!Type]]=R$1, R$1,"rg:None")</f>
        <v>rg:None</v>
      </c>
      <c r="S361" s="5" t="str">
        <f>IF(Table2[[#This Row],[!Type]]=S$1, S$1,"rg:None")</f>
        <v>table</v>
      </c>
      <c r="T361" s="8" t="str">
        <f>IF(LEN(Table2[[#This Row],[!Length]]) &gt; 0, Table2[[#This Row],[!Length]], "rg:None")</f>
        <v>rg:None</v>
      </c>
      <c r="U361" s="8" t="str">
        <f>IF(LEN(Table2[[#This Row],[!Name]]) &gt; 0, Table2[[#This Row],[!Name]], "rg:None")</f>
        <v>ProvincialRateType</v>
      </c>
      <c r="V361" s="8" t="str">
        <f>IF(LEN(Table2[[#This Row],[!Description]]) &gt; 0, Table2[[#This Row],[!Description]], "rg:None")</f>
        <v>The standard rates used in creating a new rental agreement.</v>
      </c>
      <c r="W361" s="8" t="str">
        <f>IF(LEN(Table2[[#This Row],[!FK]])&gt;0,Table2[[#This Row],[!FK]],"rg:None")</f>
        <v>rg:None</v>
      </c>
      <c r="X361" s="8"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1" s="8" t="str">
        <f>IF(LEN(Table2[[#This Row],[!Unique]])&gt;0,IF(Table2[[#This Row],[!Type]] = "id", "rg:None","rg:True"),"rg:None")</f>
        <v>rg:None</v>
      </c>
    </row>
    <row r="362" spans="1:25" x14ac:dyDescent="0.3">
      <c r="A362" s="171" t="s">
        <v>609</v>
      </c>
      <c r="B362" s="5" t="s">
        <v>7</v>
      </c>
      <c r="C362" s="5">
        <v>20</v>
      </c>
      <c r="D362" s="171" t="s">
        <v>611</v>
      </c>
      <c r="E362" s="172" t="s">
        <v>612</v>
      </c>
      <c r="F362" s="5" t="s">
        <v>5</v>
      </c>
      <c r="G362" s="4" t="s">
        <v>62</v>
      </c>
      <c r="H362" s="158" t="s">
        <v>62</v>
      </c>
      <c r="I362" s="5" t="str">
        <f t="shared" si="32"/>
        <v>Defs</v>
      </c>
      <c r="J362" s="8" t="str">
        <f>IF(Table2[[#This Row],[!Type]]=J$1, J$1,"rg:None")</f>
        <v>rg:None</v>
      </c>
      <c r="K362" s="8" t="str">
        <f>IF(Table2[[#This Row],[!Type]]=K$1, K$1,"rg:None")</f>
        <v>rg:None</v>
      </c>
      <c r="L362" s="8" t="str">
        <f>IF(Table2[[#This Row],[!Type]]=L$1, L$1,"rg:None")</f>
        <v>rg:None</v>
      </c>
      <c r="M362" s="8" t="str">
        <f>IF(Table2[[#This Row],[!Type]]=M$1, M$1,"rg:None")</f>
        <v>rg:None</v>
      </c>
      <c r="N362" s="8" t="str">
        <f>IF(Table2[[#This Row],[!Type]]=N$1, N$1,"rg:None")</f>
        <v>rg:None</v>
      </c>
      <c r="O362" s="8" t="str">
        <f>IF(Table2[[#This Row],[!Type]]=O$1, O$1,"rg:None")</f>
        <v>rg:None</v>
      </c>
      <c r="P362" s="5" t="str">
        <f>IF(Table2[[#This Row],[!Type]]=P$1, P$1,"rg:None")</f>
        <v>rg:None</v>
      </c>
      <c r="Q362" s="5" t="str">
        <f>IF(Table2[[#This Row],[!Type]]=Q$1, Q$1,"rg:None")</f>
        <v>rg:None</v>
      </c>
      <c r="R362" s="5" t="str">
        <f>IF(Table2[[#This Row],[!Type]]=R$1, R$1,"rg:None")</f>
        <v>string</v>
      </c>
      <c r="S362" s="5" t="str">
        <f>IF(Table2[[#This Row],[!Type]]=S$1, S$1,"rg:None")</f>
        <v>rg:None</v>
      </c>
      <c r="T362" s="8">
        <f>IF(LEN(Table2[[#This Row],[!Length]]) &gt; 0, Table2[[#This Row],[!Length]], "rg:None")</f>
        <v>20</v>
      </c>
      <c r="U362" s="8" t="str">
        <f>IF(LEN(Table2[[#This Row],[!Name]]) &gt; 0, Table2[[#This Row],[!Name]], "rg:None")</f>
        <v>rateType</v>
      </c>
      <c r="V362" s="8" t="str">
        <f>IF(LEN(Table2[[#This Row],[!Description]]) &gt; 0, Table2[[#This Row],[!Description]], "rg:None")</f>
        <v>A unique code value for a ProvincialRateType</v>
      </c>
      <c r="W362" s="8" t="str">
        <f>IF(LEN(Table2[[#This Row],[!FK]])&gt;0,Table2[[#This Row],[!FK]],"rg:None")</f>
        <v>rg:None</v>
      </c>
      <c r="X362" s="8"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2" s="8" t="str">
        <f>IF(LEN(Table2[[#This Row],[!Unique]])&gt;0,IF(Table2[[#This Row],[!Type]] = "id", "rg:None","rg:True"),"rg:None")</f>
        <v>rg:True</v>
      </c>
    </row>
    <row r="363" spans="1:25" x14ac:dyDescent="0.3">
      <c r="A363" s="171" t="s">
        <v>609</v>
      </c>
      <c r="B363" s="171" t="s">
        <v>7</v>
      </c>
      <c r="C363" s="5">
        <v>200</v>
      </c>
      <c r="D363" s="171" t="s">
        <v>14</v>
      </c>
      <c r="E363" s="172" t="s">
        <v>613</v>
      </c>
      <c r="F363" s="5" t="s">
        <v>5</v>
      </c>
      <c r="G363" s="4" t="s">
        <v>62</v>
      </c>
      <c r="H363" s="4"/>
      <c r="I363" s="5" t="str">
        <f t="shared" si="32"/>
        <v>Defs</v>
      </c>
      <c r="J363" s="8" t="str">
        <f>IF(Table2[[#This Row],[!Type]]=J$1, J$1,"rg:None")</f>
        <v>rg:None</v>
      </c>
      <c r="K363" s="8" t="str">
        <f>IF(Table2[[#This Row],[!Type]]=K$1, K$1,"rg:None")</f>
        <v>rg:None</v>
      </c>
      <c r="L363" s="8" t="str">
        <f>IF(Table2[[#This Row],[!Type]]=L$1, L$1,"rg:None")</f>
        <v>rg:None</v>
      </c>
      <c r="M363" s="8" t="str">
        <f>IF(Table2[[#This Row],[!Type]]=M$1, M$1,"rg:None")</f>
        <v>rg:None</v>
      </c>
      <c r="N363" s="8" t="str">
        <f>IF(Table2[[#This Row],[!Type]]=N$1, N$1,"rg:None")</f>
        <v>rg:None</v>
      </c>
      <c r="O363" s="8" t="str">
        <f>IF(Table2[[#This Row],[!Type]]=O$1, O$1,"rg:None")</f>
        <v>rg:None</v>
      </c>
      <c r="P363" s="5" t="str">
        <f>IF(Table2[[#This Row],[!Type]]=P$1, P$1,"rg:None")</f>
        <v>rg:None</v>
      </c>
      <c r="Q363" s="5" t="str">
        <f>IF(Table2[[#This Row],[!Type]]=Q$1, Q$1,"rg:None")</f>
        <v>rg:None</v>
      </c>
      <c r="R363" s="5" t="str">
        <f>IF(Table2[[#This Row],[!Type]]=R$1, R$1,"rg:None")</f>
        <v>string</v>
      </c>
      <c r="S363" s="5" t="str">
        <f>IF(Table2[[#This Row],[!Type]]=S$1, S$1,"rg:None")</f>
        <v>rg:None</v>
      </c>
      <c r="T363" s="8">
        <f>IF(LEN(Table2[[#This Row],[!Length]]) &gt; 0, Table2[[#This Row],[!Length]], "rg:None")</f>
        <v>200</v>
      </c>
      <c r="U363" s="8" t="str">
        <f>IF(LEN(Table2[[#This Row],[!Name]]) &gt; 0, Table2[[#This Row],[!Name]], "rg:None")</f>
        <v>description</v>
      </c>
      <c r="V363" s="8" t="str">
        <f>IF(LEN(Table2[[#This Row],[!Description]]) &gt; 0, Table2[[#This Row],[!Description]], "rg:None")</f>
        <v>A description of the ProvincialRateType as used in the rental agreement.</v>
      </c>
      <c r="W363" s="8" t="str">
        <f>IF(LEN(Table2[[#This Row],[!FK]])&gt;0,Table2[[#This Row],[!FK]],"rg:None")</f>
        <v>rg:None</v>
      </c>
      <c r="X363" s="8"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3" s="8" t="str">
        <f>IF(LEN(Table2[[#This Row],[!Unique]])&gt;0,IF(Table2[[#This Row],[!Type]] = "id", "rg:None","rg:True"),"rg:None")</f>
        <v>rg:None</v>
      </c>
    </row>
    <row r="364" spans="1:25" x14ac:dyDescent="0.3">
      <c r="A364" s="171" t="s">
        <v>609</v>
      </c>
      <c r="B364" s="173" t="s">
        <v>9</v>
      </c>
      <c r="C364" s="72"/>
      <c r="D364" s="173" t="s">
        <v>41</v>
      </c>
      <c r="E364" s="172" t="s">
        <v>614</v>
      </c>
      <c r="F364" s="12"/>
      <c r="G364" s="174" t="s">
        <v>62</v>
      </c>
      <c r="H364" s="18"/>
      <c r="I364" s="4" t="str">
        <f t="shared" ref="I364:I368" si="33">IF(LEN(A364) &gt; 0,"Defs","-")</f>
        <v>Defs</v>
      </c>
      <c r="J364" s="14" t="str">
        <f>IF(Table2[[#This Row],[!Type]]=J$1, J$1,"rg:None")</f>
        <v>boolean</v>
      </c>
      <c r="K364" s="14" t="str">
        <f>IF(Table2[[#This Row],[!Type]]=K$1, K$1,"rg:None")</f>
        <v>rg:None</v>
      </c>
      <c r="L364" s="14" t="str">
        <f>IF(Table2[[#This Row],[!Type]]=L$1, L$1,"rg:None")</f>
        <v>rg:None</v>
      </c>
      <c r="M364" s="14" t="str">
        <f>IF(Table2[[#This Row],[!Type]]=M$1, M$1,"rg:None")</f>
        <v>rg:None</v>
      </c>
      <c r="N364" s="14" t="str">
        <f>IF(Table2[[#This Row],[!Type]]=N$1, N$1,"rg:None")</f>
        <v>rg:None</v>
      </c>
      <c r="O364" s="14" t="str">
        <f>IF(Table2[[#This Row],[!Type]]=O$1, O$1,"rg:None")</f>
        <v>rg:None</v>
      </c>
      <c r="P364" s="4" t="str">
        <f>IF(Table2[[#This Row],[!Type]]=P$1, P$1,"rg:None")</f>
        <v>rg:None</v>
      </c>
      <c r="Q364" s="4" t="str">
        <f>IF(Table2[[#This Row],[!Type]]=Q$1, Q$1,"rg:None")</f>
        <v>rg:None</v>
      </c>
      <c r="R364" s="4" t="str">
        <f>IF(Table2[[#This Row],[!Type]]=R$1, R$1,"rg:None")</f>
        <v>rg:None</v>
      </c>
      <c r="S364" s="4" t="str">
        <f>IF(Table2[[#This Row],[!Type]]=S$1, S$1,"rg:None")</f>
        <v>rg:None</v>
      </c>
      <c r="T364" s="14" t="str">
        <f>IF(LEN(Table2[[#This Row],[!Length]]) &gt; 0, Table2[[#This Row],[!Length]], "rg:None")</f>
        <v>rg:None</v>
      </c>
      <c r="U364" s="14" t="str">
        <f>IF(LEN(Table2[[#This Row],[!Name]]) &gt; 0, Table2[[#This Row],[!Name]], "rg:None")</f>
        <v>active</v>
      </c>
      <c r="V364" s="14" t="str">
        <f>IF(LEN(Table2[[#This Row],[!Description]]) &gt; 0, Table2[[#This Row],[!Description]], "rg:None")</f>
        <v>A flag indicating if this ProvincialRateType should be used on new rental agreements.</v>
      </c>
      <c r="W364" s="14" t="str">
        <f>IF(LEN(Table2[[#This Row],[!FK]])&gt;0,Table2[[#This Row],[!FK]],"rg:None")</f>
        <v>rg:None</v>
      </c>
      <c r="X364"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4" s="14" t="str">
        <f>IF(LEN(Table2[[#This Row],[!Unique]])&gt;0,IF(Table2[[#This Row],[!Type]] = "id", "rg:None","rg:True"),"rg:None")</f>
        <v>rg:None</v>
      </c>
    </row>
    <row r="365" spans="1:25" x14ac:dyDescent="0.3">
      <c r="A365" s="171" t="s">
        <v>609</v>
      </c>
      <c r="B365" s="173" t="s">
        <v>7</v>
      </c>
      <c r="C365" s="72">
        <v>20</v>
      </c>
      <c r="D365" s="173" t="s">
        <v>615</v>
      </c>
      <c r="E365" s="175" t="s">
        <v>616</v>
      </c>
      <c r="F365" s="12"/>
      <c r="G365" s="174" t="s">
        <v>62</v>
      </c>
      <c r="H365" s="18"/>
      <c r="I365" s="4" t="str">
        <f t="shared" si="33"/>
        <v>Defs</v>
      </c>
      <c r="J365" s="14" t="str">
        <f>IF(Table2[[#This Row],[!Type]]=J$1, J$1,"rg:None")</f>
        <v>rg:None</v>
      </c>
      <c r="K365" s="14" t="str">
        <f>IF(Table2[[#This Row],[!Type]]=K$1, K$1,"rg:None")</f>
        <v>rg:None</v>
      </c>
      <c r="L365" s="14" t="str">
        <f>IF(Table2[[#This Row],[!Type]]=L$1, L$1,"rg:None")</f>
        <v>rg:None</v>
      </c>
      <c r="M365" s="14" t="str">
        <f>IF(Table2[[#This Row],[!Type]]=M$1, M$1,"rg:None")</f>
        <v>rg:None</v>
      </c>
      <c r="N365" s="14" t="str">
        <f>IF(Table2[[#This Row],[!Type]]=N$1, N$1,"rg:None")</f>
        <v>rg:None</v>
      </c>
      <c r="O365" s="14" t="str">
        <f>IF(Table2[[#This Row],[!Type]]=O$1, O$1,"rg:None")</f>
        <v>rg:None</v>
      </c>
      <c r="P365" s="4" t="str">
        <f>IF(Table2[[#This Row],[!Type]]=P$1, P$1,"rg:None")</f>
        <v>rg:None</v>
      </c>
      <c r="Q365" s="4" t="str">
        <f>IF(Table2[[#This Row],[!Type]]=Q$1, Q$1,"rg:None")</f>
        <v>rg:None</v>
      </c>
      <c r="R365" s="4" t="str">
        <f>IF(Table2[[#This Row],[!Type]]=R$1, R$1,"rg:None")</f>
        <v>string</v>
      </c>
      <c r="S365" s="4" t="str">
        <f>IF(Table2[[#This Row],[!Type]]=S$1, S$1,"rg:None")</f>
        <v>rg:None</v>
      </c>
      <c r="T365" s="14">
        <f>IF(LEN(Table2[[#This Row],[!Length]]) &gt; 0, Table2[[#This Row],[!Length]], "rg:None")</f>
        <v>20</v>
      </c>
      <c r="U365" s="14" t="str">
        <f>IF(LEN(Table2[[#This Row],[!Name]]) &gt; 0, Table2[[#This Row],[!Name]], "rg:None")</f>
        <v>periodType</v>
      </c>
      <c r="V365" s="14" t="str">
        <f>IF(LEN(Table2[[#This Row],[!Description]]) &gt; 0, Table2[[#This Row],[!Description]], "rg:None")</f>
        <v>The period this ProvincialRateTYpe is billed at (either Hourly or Daily).</v>
      </c>
      <c r="W365" s="14" t="str">
        <f>IF(LEN(Table2[[#This Row],[!FK]])&gt;0,Table2[[#This Row],[!FK]],"rg:None")</f>
        <v>rg:None</v>
      </c>
      <c r="X365"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5" s="14" t="str">
        <f>IF(LEN(Table2[[#This Row],[!Unique]])&gt;0,IF(Table2[[#This Row],[!Type]] = "id", "rg:None","rg:True"),"rg:None")</f>
        <v>rg:None</v>
      </c>
    </row>
    <row r="366" spans="1:25" x14ac:dyDescent="0.3">
      <c r="A366" s="171" t="s">
        <v>609</v>
      </c>
      <c r="B366" s="173" t="s">
        <v>108</v>
      </c>
      <c r="C366" s="72"/>
      <c r="D366" s="173" t="s">
        <v>144</v>
      </c>
      <c r="E366" s="175" t="s">
        <v>617</v>
      </c>
      <c r="F366" s="12"/>
      <c r="G366" s="18"/>
      <c r="H366" s="18"/>
      <c r="I366" s="4" t="str">
        <f t="shared" si="33"/>
        <v>Defs</v>
      </c>
      <c r="J366" s="14" t="str">
        <f>IF(Table2[[#This Row],[!Type]]=J$1, J$1,"rg:None")</f>
        <v>rg:None</v>
      </c>
      <c r="K366" s="14" t="str">
        <f>IF(Table2[[#This Row],[!Type]]=K$1, K$1,"rg:None")</f>
        <v>rg:None</v>
      </c>
      <c r="L366" s="14" t="str">
        <f>IF(Table2[[#This Row],[!Type]]=L$1, L$1,"rg:None")</f>
        <v>rg:None</v>
      </c>
      <c r="M366" s="14" t="str">
        <f>IF(Table2[[#This Row],[!Type]]=M$1, M$1,"rg:None")</f>
        <v>rg:None</v>
      </c>
      <c r="N366" s="14" t="str">
        <f>IF(Table2[[#This Row],[!Type]]=N$1, N$1,"rg:None")</f>
        <v>rg:None</v>
      </c>
      <c r="O366" s="14" t="str">
        <f>IF(Table2[[#This Row],[!Type]]=O$1, O$1,"rg:None")</f>
        <v>float</v>
      </c>
      <c r="P366" s="4" t="str">
        <f>IF(Table2[[#This Row],[!Type]]=P$1, P$1,"rg:None")</f>
        <v>rg:None</v>
      </c>
      <c r="Q366" s="4" t="str">
        <f>IF(Table2[[#This Row],[!Type]]=Q$1, Q$1,"rg:None")</f>
        <v>rg:None</v>
      </c>
      <c r="R366" s="4" t="str">
        <f>IF(Table2[[#This Row],[!Type]]=R$1, R$1,"rg:None")</f>
        <v>rg:None</v>
      </c>
      <c r="S366" s="4" t="str">
        <f>IF(Table2[[#This Row],[!Type]]=S$1, S$1,"rg:None")</f>
        <v>rg:None</v>
      </c>
      <c r="T366" s="14" t="str">
        <f>IF(LEN(Table2[[#This Row],[!Length]]) &gt; 0, Table2[[#This Row],[!Length]], "rg:None")</f>
        <v>rg:None</v>
      </c>
      <c r="U366" s="14" t="str">
        <f>IF(LEN(Table2[[#This Row],[!Name]]) &gt; 0, Table2[[#This Row],[!Name]], "rg:None")</f>
        <v>rate</v>
      </c>
      <c r="V366" s="14" t="str">
        <f>IF(LEN(Table2[[#This Row],[!Description]]) &gt; 0, Table2[[#This Row],[!Description]], "rg:None")</f>
        <v>Rate in dollars for this ProvincialRateType.</v>
      </c>
      <c r="W366" s="14" t="str">
        <f>IF(LEN(Table2[[#This Row],[!FK]])&gt;0,Table2[[#This Row],[!FK]],"rg:None")</f>
        <v>rg:None</v>
      </c>
      <c r="X366"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6" s="14" t="str">
        <f>IF(LEN(Table2[[#This Row],[!Unique]])&gt;0,IF(Table2[[#This Row],[!Type]] = "id", "rg:None","rg:True"),"rg:None")</f>
        <v>rg:None</v>
      </c>
    </row>
    <row r="367" spans="1:25" x14ac:dyDescent="0.3">
      <c r="A367" s="171" t="s">
        <v>609</v>
      </c>
      <c r="B367" s="173" t="s">
        <v>9</v>
      </c>
      <c r="C367" s="72"/>
      <c r="D367" s="173" t="s">
        <v>623</v>
      </c>
      <c r="E367" s="175" t="s">
        <v>618</v>
      </c>
      <c r="F367" s="12"/>
      <c r="G367" s="174" t="s">
        <v>62</v>
      </c>
      <c r="H367" s="18"/>
      <c r="I367" s="4" t="str">
        <f t="shared" si="33"/>
        <v>Defs</v>
      </c>
      <c r="J367" s="14" t="str">
        <f>IF(Table2[[#This Row],[!Type]]=J$1, J$1,"rg:None")</f>
        <v>boolean</v>
      </c>
      <c r="K367" s="14" t="str">
        <f>IF(Table2[[#This Row],[!Type]]=K$1, K$1,"rg:None")</f>
        <v>rg:None</v>
      </c>
      <c r="L367" s="14" t="str">
        <f>IF(Table2[[#This Row],[!Type]]=L$1, L$1,"rg:None")</f>
        <v>rg:None</v>
      </c>
      <c r="M367" s="14" t="str">
        <f>IF(Table2[[#This Row],[!Type]]=M$1, M$1,"rg:None")</f>
        <v>rg:None</v>
      </c>
      <c r="N367" s="14" t="str">
        <f>IF(Table2[[#This Row],[!Type]]=N$1, N$1,"rg:None")</f>
        <v>rg:None</v>
      </c>
      <c r="O367" s="14" t="str">
        <f>IF(Table2[[#This Row],[!Type]]=O$1, O$1,"rg:None")</f>
        <v>rg:None</v>
      </c>
      <c r="P367" s="4" t="str">
        <f>IF(Table2[[#This Row],[!Type]]=P$1, P$1,"rg:None")</f>
        <v>rg:None</v>
      </c>
      <c r="Q367" s="4" t="str">
        <f>IF(Table2[[#This Row],[!Type]]=Q$1, Q$1,"rg:None")</f>
        <v>rg:None</v>
      </c>
      <c r="R367" s="4" t="str">
        <f>IF(Table2[[#This Row],[!Type]]=R$1, R$1,"rg:None")</f>
        <v>rg:None</v>
      </c>
      <c r="S367" s="4" t="str">
        <f>IF(Table2[[#This Row],[!Type]]=S$1, S$1,"rg:None")</f>
        <v>rg:None</v>
      </c>
      <c r="T367" s="14" t="str">
        <f>IF(LEN(Table2[[#This Row],[!Length]]) &gt; 0, Table2[[#This Row],[!Length]], "rg:None")</f>
        <v>rg:None</v>
      </c>
      <c r="U367" s="14" t="str">
        <f>IF(LEN(Table2[[#This Row],[!Name]]) &gt; 0, Table2[[#This Row],[!Name]], "rg:None")</f>
        <v>isPercentRate</v>
      </c>
      <c r="V367" s="14" t="str">
        <f>IF(LEN(Table2[[#This Row],[!Description]]) &gt; 0, Table2[[#This Row],[!Description]], "rg:None")</f>
        <v>Indicates this ProvincialRateType is calculated as a percentage of the base rate.</v>
      </c>
      <c r="W367" s="14" t="str">
        <f>IF(LEN(Table2[[#This Row],[!FK]])&gt;0,Table2[[#This Row],[!FK]],"rg:None")</f>
        <v>rg:None</v>
      </c>
      <c r="X367"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7" s="14" t="str">
        <f>IF(LEN(Table2[[#This Row],[!Unique]])&gt;0,IF(Table2[[#This Row],[!Type]] = "id", "rg:None","rg:True"),"rg:None")</f>
        <v>rg:None</v>
      </c>
    </row>
    <row r="368" spans="1:25" x14ac:dyDescent="0.3">
      <c r="A368" s="171" t="s">
        <v>609</v>
      </c>
      <c r="B368" s="173" t="s">
        <v>9</v>
      </c>
      <c r="C368" s="72"/>
      <c r="D368" s="173" t="s">
        <v>619</v>
      </c>
      <c r="E368" s="175" t="s">
        <v>622</v>
      </c>
      <c r="F368" s="12"/>
      <c r="G368" s="174" t="s">
        <v>62</v>
      </c>
      <c r="H368" s="18"/>
      <c r="I368" s="4" t="str">
        <f t="shared" si="33"/>
        <v>Defs</v>
      </c>
      <c r="J368" s="14" t="str">
        <f>IF(Table2[[#This Row],[!Type]]=J$1, J$1,"rg:None")</f>
        <v>boolean</v>
      </c>
      <c r="K368" s="14" t="str">
        <f>IF(Table2[[#This Row],[!Type]]=K$1, K$1,"rg:None")</f>
        <v>rg:None</v>
      </c>
      <c r="L368" s="14" t="str">
        <f>IF(Table2[[#This Row],[!Type]]=L$1, L$1,"rg:None")</f>
        <v>rg:None</v>
      </c>
      <c r="M368" s="14" t="str">
        <f>IF(Table2[[#This Row],[!Type]]=M$1, M$1,"rg:None")</f>
        <v>rg:None</v>
      </c>
      <c r="N368" s="14" t="str">
        <f>IF(Table2[[#This Row],[!Type]]=N$1, N$1,"rg:None")</f>
        <v>rg:None</v>
      </c>
      <c r="O368" s="14" t="str">
        <f>IF(Table2[[#This Row],[!Type]]=O$1, O$1,"rg:None")</f>
        <v>rg:None</v>
      </c>
      <c r="P368" s="4" t="str">
        <f>IF(Table2[[#This Row],[!Type]]=P$1, P$1,"rg:None")</f>
        <v>rg:None</v>
      </c>
      <c r="Q368" s="4" t="str">
        <f>IF(Table2[[#This Row],[!Type]]=Q$1, Q$1,"rg:None")</f>
        <v>rg:None</v>
      </c>
      <c r="R368" s="4" t="str">
        <f>IF(Table2[[#This Row],[!Type]]=R$1, R$1,"rg:None")</f>
        <v>rg:None</v>
      </c>
      <c r="S368" s="4" t="str">
        <f>IF(Table2[[#This Row],[!Type]]=S$1, S$1,"rg:None")</f>
        <v>rg:None</v>
      </c>
      <c r="T368" s="14" t="str">
        <f>IF(LEN(Table2[[#This Row],[!Length]]) &gt; 0, Table2[[#This Row],[!Length]], "rg:None")</f>
        <v>rg:None</v>
      </c>
      <c r="U368" s="14" t="str">
        <f>IF(LEN(Table2[[#This Row],[!Name]]) &gt; 0, Table2[[#This Row],[!Name]], "rg:None")</f>
        <v>isRateEditable</v>
      </c>
      <c r="V368" s="14" t="str">
        <f>IF(LEN(Table2[[#This Row],[!Description]]) &gt; 0, Table2[[#This Row],[!Description]], "rg:None")</f>
        <v>Indicates if a user can modify the rate for this ProvincialRateType.</v>
      </c>
      <c r="W368" s="14" t="str">
        <f>IF(LEN(Table2[[#This Row],[!FK]])&gt;0,Table2[[#This Row],[!FK]],"rg:None")</f>
        <v>rg:None</v>
      </c>
      <c r="X368"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8" s="14" t="str">
        <f>IF(LEN(Table2[[#This Row],[!Unique]])&gt;0,IF(Table2[[#This Row],[!Type]] = "id", "rg:None","rg:True"),"rg:None")</f>
        <v>rg:None</v>
      </c>
    </row>
    <row r="369" spans="1:25" x14ac:dyDescent="0.3">
      <c r="A369" s="171" t="s">
        <v>609</v>
      </c>
      <c r="B369" s="173" t="s">
        <v>9</v>
      </c>
      <c r="C369" s="72"/>
      <c r="D369" s="173" t="s">
        <v>620</v>
      </c>
      <c r="E369" s="175" t="s">
        <v>621</v>
      </c>
      <c r="F369" s="12"/>
      <c r="G369" s="174" t="s">
        <v>62</v>
      </c>
      <c r="H369" s="18"/>
      <c r="I369" s="4" t="str">
        <f t="shared" ref="I369" si="34">IF(LEN(A369) &gt; 0,"Defs","-")</f>
        <v>Defs</v>
      </c>
      <c r="J369" s="14" t="str">
        <f>IF(Table2[[#This Row],[!Type]]=J$1, J$1,"rg:None")</f>
        <v>boolean</v>
      </c>
      <c r="K369" s="14" t="str">
        <f>IF(Table2[[#This Row],[!Type]]=K$1, K$1,"rg:None")</f>
        <v>rg:None</v>
      </c>
      <c r="L369" s="14" t="str">
        <f>IF(Table2[[#This Row],[!Type]]=L$1, L$1,"rg:None")</f>
        <v>rg:None</v>
      </c>
      <c r="M369" s="14" t="str">
        <f>IF(Table2[[#This Row],[!Type]]=M$1, M$1,"rg:None")</f>
        <v>rg:None</v>
      </c>
      <c r="N369" s="14" t="str">
        <f>IF(Table2[[#This Row],[!Type]]=N$1, N$1,"rg:None")</f>
        <v>rg:None</v>
      </c>
      <c r="O369" s="14" t="str">
        <f>IF(Table2[[#This Row],[!Type]]=O$1, O$1,"rg:None")</f>
        <v>rg:None</v>
      </c>
      <c r="P369" s="4" t="str">
        <f>IF(Table2[[#This Row],[!Type]]=P$1, P$1,"rg:None")</f>
        <v>rg:None</v>
      </c>
      <c r="Q369" s="4" t="str">
        <f>IF(Table2[[#This Row],[!Type]]=Q$1, Q$1,"rg:None")</f>
        <v>rg:None</v>
      </c>
      <c r="R369" s="4" t="str">
        <f>IF(Table2[[#This Row],[!Type]]=R$1, R$1,"rg:None")</f>
        <v>rg:None</v>
      </c>
      <c r="S369" s="4" t="str">
        <f>IF(Table2[[#This Row],[!Type]]=S$1, S$1,"rg:None")</f>
        <v>rg:None</v>
      </c>
      <c r="T369" s="14" t="str">
        <f>IF(LEN(Table2[[#This Row],[!Length]]) &gt; 0, Table2[[#This Row],[!Length]], "rg:None")</f>
        <v>rg:None</v>
      </c>
      <c r="U369" s="14" t="str">
        <f>IF(LEN(Table2[[#This Row],[!Name]]) &gt; 0, Table2[[#This Row],[!Name]], "rg:None")</f>
        <v>isIncludedInTotal</v>
      </c>
      <c r="V369" s="14" t="str">
        <f>IF(LEN(Table2[[#This Row],[!Description]]) &gt; 0, Table2[[#This Row],[!Description]], "rg:None")</f>
        <v>Indicates if this rate is added to the total in the rental agreement.</v>
      </c>
      <c r="W369" s="14" t="str">
        <f>IF(LEN(Table2[[#This Row],[!FK]])&gt;0,Table2[[#This Row],[!FK]],"rg:None")</f>
        <v>rg:None</v>
      </c>
      <c r="X369"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9" s="14" t="str">
        <f>IF(LEN(Table2[[#This Row],[!Unique]])&gt;0,IF(Table2[[#This Row],[!Type]] = "id", "rg:None","rg:True"),"rg:None")</f>
        <v>rg:None</v>
      </c>
    </row>
    <row r="370" spans="1:25" x14ac:dyDescent="0.3">
      <c r="A370" s="171" t="s">
        <v>609</v>
      </c>
      <c r="B370" s="173" t="s">
        <v>9</v>
      </c>
      <c r="C370" s="72"/>
      <c r="D370" s="178" t="s">
        <v>630</v>
      </c>
      <c r="E370" s="179" t="s">
        <v>631</v>
      </c>
      <c r="F370" s="12"/>
      <c r="G370" s="180" t="s">
        <v>62</v>
      </c>
      <c r="H370" s="18"/>
      <c r="I370" s="4" t="str">
        <f>IF(LEN(A370) &gt; 0,"Defs","-")</f>
        <v>Defs</v>
      </c>
      <c r="J370" s="14" t="str">
        <f>IF(Table2[[#This Row],[!Type]]=J$1, J$1,"rg:None")</f>
        <v>boolean</v>
      </c>
      <c r="K370" s="14" t="str">
        <f>IF(Table2[[#This Row],[!Type]]=K$1, K$1,"rg:None")</f>
        <v>rg:None</v>
      </c>
      <c r="L370" s="14" t="str">
        <f>IF(Table2[[#This Row],[!Type]]=L$1, L$1,"rg:None")</f>
        <v>rg:None</v>
      </c>
      <c r="M370" s="14" t="str">
        <f>IF(Table2[[#This Row],[!Type]]=M$1, M$1,"rg:None")</f>
        <v>rg:None</v>
      </c>
      <c r="N370" s="14" t="str">
        <f>IF(Table2[[#This Row],[!Type]]=N$1, N$1,"rg:None")</f>
        <v>rg:None</v>
      </c>
      <c r="O370" s="14" t="str">
        <f>IF(Table2[[#This Row],[!Type]]=O$1, O$1,"rg:None")</f>
        <v>rg:None</v>
      </c>
      <c r="P370" s="4" t="str">
        <f>IF(Table2[[#This Row],[!Type]]=P$1, P$1,"rg:None")</f>
        <v>rg:None</v>
      </c>
      <c r="Q370" s="4" t="str">
        <f>IF(Table2[[#This Row],[!Type]]=Q$1, Q$1,"rg:None")</f>
        <v>rg:None</v>
      </c>
      <c r="R370" s="4" t="str">
        <f>IF(Table2[[#This Row],[!Type]]=R$1, R$1,"rg:None")</f>
        <v>rg:None</v>
      </c>
      <c r="S370" s="4" t="str">
        <f>IF(Table2[[#This Row],[!Type]]=S$1, S$1,"rg:None")</f>
        <v>rg:None</v>
      </c>
      <c r="T370" s="14" t="str">
        <f>IF(LEN(Table2[[#This Row],[!Length]]) &gt; 0, Table2[[#This Row],[!Length]], "rg:None")</f>
        <v>rg:None</v>
      </c>
      <c r="U370" s="14" t="str">
        <f>IF(LEN(Table2[[#This Row],[!Name]]) &gt; 0, Table2[[#This Row],[!Name]], "rg:None")</f>
        <v>isInTotalEditable</v>
      </c>
      <c r="V370" s="14" t="str">
        <f>IF(LEN(Table2[[#This Row],[!Description]]) &gt; 0, Table2[[#This Row],[!Description]], "rg:None")</f>
        <v>Indicates if the user can override the default Included In Total value.</v>
      </c>
      <c r="W370" s="14" t="str">
        <f>IF(LEN(Table2[[#This Row],[!FK]])&gt;0,Table2[[#This Row],[!FK]],"rg:None")</f>
        <v>rg:None</v>
      </c>
      <c r="X370"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70" s="14" t="str">
        <f>IF(LEN(Table2[[#This Row],[!Unique]])&gt;0,IF(Table2[[#This Row],[!Type]] = "id", "rg:None","rg:True"),"rg:None")</f>
        <v>rg:None</v>
      </c>
    </row>
    <row r="371" spans="1:25" x14ac:dyDescent="0.3">
      <c r="A371" s="171" t="s">
        <v>624</v>
      </c>
      <c r="B371" s="5" t="s">
        <v>4</v>
      </c>
      <c r="D371" s="171" t="s">
        <v>624</v>
      </c>
      <c r="E371" s="172" t="s">
        <v>625</v>
      </c>
      <c r="F371" s="5" t="s">
        <v>5</v>
      </c>
      <c r="G371" s="4"/>
      <c r="H371" s="4"/>
      <c r="I371" s="4" t="str">
        <f t="shared" ref="I371:I374" si="35">IF(LEN(A371) &gt; 0,"Defs","-")</f>
        <v>Defs</v>
      </c>
      <c r="J371" s="14" t="str">
        <f>IF(Table2[[#This Row],[!Type]]=J$1, J$1,"rg:None")</f>
        <v>rg:None</v>
      </c>
      <c r="K371" s="14" t="str">
        <f>IF(Table2[[#This Row],[!Type]]=K$1, K$1,"rg:None")</f>
        <v>rg:None</v>
      </c>
      <c r="L371" s="14" t="str">
        <f>IF(Table2[[#This Row],[!Type]]=L$1, L$1,"rg:None")</f>
        <v>rg:None</v>
      </c>
      <c r="M371" s="14" t="str">
        <f>IF(Table2[[#This Row],[!Type]]=M$1, M$1,"rg:None")</f>
        <v>rg:None</v>
      </c>
      <c r="N371" s="14" t="str">
        <f>IF(Table2[[#This Row],[!Type]]=N$1, N$1,"rg:None")</f>
        <v>rg:None</v>
      </c>
      <c r="O371" s="14" t="str">
        <f>IF(Table2[[#This Row],[!Type]]=O$1, O$1,"rg:None")</f>
        <v>rg:None</v>
      </c>
      <c r="P371" s="4" t="str">
        <f>IF(Table2[[#This Row],[!Type]]=P$1, P$1,"rg:None")</f>
        <v>rg:None</v>
      </c>
      <c r="Q371" s="4" t="str">
        <f>IF(Table2[[#This Row],[!Type]]=Q$1, Q$1,"rg:None")</f>
        <v>rg:None</v>
      </c>
      <c r="R371" s="4" t="str">
        <f>IF(Table2[[#This Row],[!Type]]=R$1, R$1,"rg:None")</f>
        <v>rg:None</v>
      </c>
      <c r="S371" s="4" t="str">
        <f>IF(Table2[[#This Row],[!Type]]=S$1, S$1,"rg:None")</f>
        <v>table</v>
      </c>
      <c r="T371" s="14" t="str">
        <f>IF(LEN(Table2[[#This Row],[!Length]]) &gt; 0, Table2[[#This Row],[!Length]], "rg:None")</f>
        <v>rg:None</v>
      </c>
      <c r="U371" s="14" t="str">
        <f>IF(LEN(Table2[[#This Row],[!Name]]) &gt; 0, Table2[[#This Row],[!Name]], "rg:None")</f>
        <v>ConditionType</v>
      </c>
      <c r="V371" s="14" t="str">
        <f>IF(LEN(Table2[[#This Row],[!Description]]) &gt; 0, Table2[[#This Row],[!Description]], "rg:None")</f>
        <v>The standard conditions used in creating a new rental agreement.</v>
      </c>
      <c r="W371" s="14" t="str">
        <f>IF(LEN(Table2[[#This Row],[!FK]])&gt;0,Table2[[#This Row],[!FK]],"rg:None")</f>
        <v>rg:None</v>
      </c>
      <c r="X371" s="14" t="str">
        <f>IF(LEN(concatif2(A:A,Table2[[#This Row],[!Table]],G:G,"Y",D:D,",")) &gt; 0,"rg:[ { 'req' : '"&amp;concatif2(A:A,Table2[[#This Row],[!Table]],G:G,"Y",D:D,"' }, { 'req': '")&amp;"'} ]","rg:[]")</f>
        <v>rg:[ { 'req' : 'conditionTypeCode' }, { 'req': 'description' }, { 'req': 'active'} ]</v>
      </c>
      <c r="Y371" s="14" t="str">
        <f>IF(LEN(Table2[[#This Row],[!Unique]])&gt;0,IF(Table2[[#This Row],[!Type]] = "id", "rg:None","rg:True"),"rg:None")</f>
        <v>rg:None</v>
      </c>
    </row>
    <row r="372" spans="1:25" x14ac:dyDescent="0.3">
      <c r="A372" s="171" t="s">
        <v>624</v>
      </c>
      <c r="B372" s="5" t="s">
        <v>7</v>
      </c>
      <c r="C372" s="5">
        <v>20</v>
      </c>
      <c r="D372" s="171" t="s">
        <v>629</v>
      </c>
      <c r="E372" s="172" t="s">
        <v>626</v>
      </c>
      <c r="F372" s="5" t="s">
        <v>5</v>
      </c>
      <c r="G372" s="4" t="s">
        <v>62</v>
      </c>
      <c r="H372" s="158" t="s">
        <v>62</v>
      </c>
      <c r="I372" s="4" t="str">
        <f t="shared" si="35"/>
        <v>Defs</v>
      </c>
      <c r="J372" s="14" t="str">
        <f>IF(Table2[[#This Row],[!Type]]=J$1, J$1,"rg:None")</f>
        <v>rg:None</v>
      </c>
      <c r="K372" s="14" t="str">
        <f>IF(Table2[[#This Row],[!Type]]=K$1, K$1,"rg:None")</f>
        <v>rg:None</v>
      </c>
      <c r="L372" s="14" t="str">
        <f>IF(Table2[[#This Row],[!Type]]=L$1, L$1,"rg:None")</f>
        <v>rg:None</v>
      </c>
      <c r="M372" s="14" t="str">
        <f>IF(Table2[[#This Row],[!Type]]=M$1, M$1,"rg:None")</f>
        <v>rg:None</v>
      </c>
      <c r="N372" s="14" t="str">
        <f>IF(Table2[[#This Row],[!Type]]=N$1, N$1,"rg:None")</f>
        <v>rg:None</v>
      </c>
      <c r="O372" s="14" t="str">
        <f>IF(Table2[[#This Row],[!Type]]=O$1, O$1,"rg:None")</f>
        <v>rg:None</v>
      </c>
      <c r="P372" s="4" t="str">
        <f>IF(Table2[[#This Row],[!Type]]=P$1, P$1,"rg:None")</f>
        <v>rg:None</v>
      </c>
      <c r="Q372" s="4" t="str">
        <f>IF(Table2[[#This Row],[!Type]]=Q$1, Q$1,"rg:None")</f>
        <v>rg:None</v>
      </c>
      <c r="R372" s="4" t="str">
        <f>IF(Table2[[#This Row],[!Type]]=R$1, R$1,"rg:None")</f>
        <v>string</v>
      </c>
      <c r="S372" s="4" t="str">
        <f>IF(Table2[[#This Row],[!Type]]=S$1, S$1,"rg:None")</f>
        <v>rg:None</v>
      </c>
      <c r="T372" s="14">
        <f>IF(LEN(Table2[[#This Row],[!Length]]) &gt; 0, Table2[[#This Row],[!Length]], "rg:None")</f>
        <v>20</v>
      </c>
      <c r="U372" s="14" t="str">
        <f>IF(LEN(Table2[[#This Row],[!Name]]) &gt; 0, Table2[[#This Row],[!Name]], "rg:None")</f>
        <v>conditionTypeCode</v>
      </c>
      <c r="V372" s="14" t="str">
        <f>IF(LEN(Table2[[#This Row],[!Description]]) &gt; 0, Table2[[#This Row],[!Description]], "rg:None")</f>
        <v>A unique code value for a ConditionType</v>
      </c>
      <c r="W372" s="14" t="str">
        <f>IF(LEN(Table2[[#This Row],[!FK]])&gt;0,Table2[[#This Row],[!FK]],"rg:None")</f>
        <v>rg:None</v>
      </c>
      <c r="X372" s="14" t="str">
        <f>IF(LEN(concatif2(A:A,Table2[[#This Row],[!Table]],G:G,"Y",D:D,",")) &gt; 0,"rg:[ { 'req' : '"&amp;concatif2(A:A,Table2[[#This Row],[!Table]],G:G,"Y",D:D,"' }, { 'req': '")&amp;"'} ]","rg:[]")</f>
        <v>rg:[ { 'req' : 'conditionTypeCode' }, { 'req': 'description' }, { 'req': 'active'} ]</v>
      </c>
      <c r="Y372" s="14" t="str">
        <f>IF(LEN(Table2[[#This Row],[!Unique]])&gt;0,IF(Table2[[#This Row],[!Type]] = "id", "rg:None","rg:True"),"rg:None")</f>
        <v>rg:True</v>
      </c>
    </row>
    <row r="373" spans="1:25" x14ac:dyDescent="0.3">
      <c r="A373" s="171" t="s">
        <v>624</v>
      </c>
      <c r="B373" s="171" t="s">
        <v>7</v>
      </c>
      <c r="C373" s="5">
        <v>2048</v>
      </c>
      <c r="D373" s="171" t="s">
        <v>14</v>
      </c>
      <c r="E373" s="172" t="s">
        <v>627</v>
      </c>
      <c r="F373" s="5" t="s">
        <v>5</v>
      </c>
      <c r="G373" s="4" t="s">
        <v>62</v>
      </c>
      <c r="H373" s="4"/>
      <c r="I373" s="4" t="str">
        <f t="shared" si="35"/>
        <v>Defs</v>
      </c>
      <c r="J373" s="14" t="str">
        <f>IF(Table2[[#This Row],[!Type]]=J$1, J$1,"rg:None")</f>
        <v>rg:None</v>
      </c>
      <c r="K373" s="14" t="str">
        <f>IF(Table2[[#This Row],[!Type]]=K$1, K$1,"rg:None")</f>
        <v>rg:None</v>
      </c>
      <c r="L373" s="14" t="str">
        <f>IF(Table2[[#This Row],[!Type]]=L$1, L$1,"rg:None")</f>
        <v>rg:None</v>
      </c>
      <c r="M373" s="14" t="str">
        <f>IF(Table2[[#This Row],[!Type]]=M$1, M$1,"rg:None")</f>
        <v>rg:None</v>
      </c>
      <c r="N373" s="14" t="str">
        <f>IF(Table2[[#This Row],[!Type]]=N$1, N$1,"rg:None")</f>
        <v>rg:None</v>
      </c>
      <c r="O373" s="14" t="str">
        <f>IF(Table2[[#This Row],[!Type]]=O$1, O$1,"rg:None")</f>
        <v>rg:None</v>
      </c>
      <c r="P373" s="4" t="str">
        <f>IF(Table2[[#This Row],[!Type]]=P$1, P$1,"rg:None")</f>
        <v>rg:None</v>
      </c>
      <c r="Q373" s="4" t="str">
        <f>IF(Table2[[#This Row],[!Type]]=Q$1, Q$1,"rg:None")</f>
        <v>rg:None</v>
      </c>
      <c r="R373" s="4" t="str">
        <f>IF(Table2[[#This Row],[!Type]]=R$1, R$1,"rg:None")</f>
        <v>string</v>
      </c>
      <c r="S373" s="4" t="str">
        <f>IF(Table2[[#This Row],[!Type]]=S$1, S$1,"rg:None")</f>
        <v>rg:None</v>
      </c>
      <c r="T373" s="14">
        <f>IF(LEN(Table2[[#This Row],[!Length]]) &gt; 0, Table2[[#This Row],[!Length]], "rg:None")</f>
        <v>2048</v>
      </c>
      <c r="U373" s="14" t="str">
        <f>IF(LEN(Table2[[#This Row],[!Name]]) &gt; 0, Table2[[#This Row],[!Name]], "rg:None")</f>
        <v>description</v>
      </c>
      <c r="V373" s="14" t="str">
        <f>IF(LEN(Table2[[#This Row],[!Description]]) &gt; 0, Table2[[#This Row],[!Description]], "rg:None")</f>
        <v>A description of the ConditionType as used in the rental agreement.</v>
      </c>
      <c r="W373" s="14" t="str">
        <f>IF(LEN(Table2[[#This Row],[!FK]])&gt;0,Table2[[#This Row],[!FK]],"rg:None")</f>
        <v>rg:None</v>
      </c>
      <c r="X373" s="14" t="str">
        <f>IF(LEN(concatif2(A:A,Table2[[#This Row],[!Table]],G:G,"Y",D:D,",")) &gt; 0,"rg:[ { 'req' : '"&amp;concatif2(A:A,Table2[[#This Row],[!Table]],G:G,"Y",D:D,"' }, { 'req': '")&amp;"'} ]","rg:[]")</f>
        <v>rg:[ { 'req' : 'conditionTypeCode' }, { 'req': 'description' }, { 'req': 'active'} ]</v>
      </c>
      <c r="Y373" s="14" t="str">
        <f>IF(LEN(Table2[[#This Row],[!Unique]])&gt;0,IF(Table2[[#This Row],[!Type]] = "id", "rg:None","rg:True"),"rg:None")</f>
        <v>rg:None</v>
      </c>
    </row>
    <row r="374" spans="1:25" x14ac:dyDescent="0.3">
      <c r="A374" s="171" t="s">
        <v>624</v>
      </c>
      <c r="B374" s="173" t="s">
        <v>9</v>
      </c>
      <c r="C374" s="72"/>
      <c r="D374" s="173" t="s">
        <v>41</v>
      </c>
      <c r="E374" s="172" t="s">
        <v>628</v>
      </c>
      <c r="F374" s="12"/>
      <c r="G374" s="174" t="s">
        <v>62</v>
      </c>
      <c r="H374" s="18"/>
      <c r="I374" s="4" t="str">
        <f t="shared" si="35"/>
        <v>Defs</v>
      </c>
      <c r="J374" s="14" t="str">
        <f>IF(Table2[[#This Row],[!Type]]=J$1, J$1,"rg:None")</f>
        <v>boolean</v>
      </c>
      <c r="K374" s="14" t="str">
        <f>IF(Table2[[#This Row],[!Type]]=K$1, K$1,"rg:None")</f>
        <v>rg:None</v>
      </c>
      <c r="L374" s="14" t="str">
        <f>IF(Table2[[#This Row],[!Type]]=L$1, L$1,"rg:None")</f>
        <v>rg:None</v>
      </c>
      <c r="M374" s="14" t="str">
        <f>IF(Table2[[#This Row],[!Type]]=M$1, M$1,"rg:None")</f>
        <v>rg:None</v>
      </c>
      <c r="N374" s="14" t="str">
        <f>IF(Table2[[#This Row],[!Type]]=N$1, N$1,"rg:None")</f>
        <v>rg:None</v>
      </c>
      <c r="O374" s="14" t="str">
        <f>IF(Table2[[#This Row],[!Type]]=O$1, O$1,"rg:None")</f>
        <v>rg:None</v>
      </c>
      <c r="P374" s="4" t="str">
        <f>IF(Table2[[#This Row],[!Type]]=P$1, P$1,"rg:None")</f>
        <v>rg:None</v>
      </c>
      <c r="Q374" s="4" t="str">
        <f>IF(Table2[[#This Row],[!Type]]=Q$1, Q$1,"rg:None")</f>
        <v>rg:None</v>
      </c>
      <c r="R374" s="4" t="str">
        <f>IF(Table2[[#This Row],[!Type]]=R$1, R$1,"rg:None")</f>
        <v>rg:None</v>
      </c>
      <c r="S374" s="4" t="str">
        <f>IF(Table2[[#This Row],[!Type]]=S$1, S$1,"rg:None")</f>
        <v>rg:None</v>
      </c>
      <c r="T374" s="14" t="str">
        <f>IF(LEN(Table2[[#This Row],[!Length]]) &gt; 0, Table2[[#This Row],[!Length]], "rg:None")</f>
        <v>rg:None</v>
      </c>
      <c r="U374" s="14" t="str">
        <f>IF(LEN(Table2[[#This Row],[!Name]]) &gt; 0, Table2[[#This Row],[!Name]], "rg:None")</f>
        <v>active</v>
      </c>
      <c r="V374" s="14" t="str">
        <f>IF(LEN(Table2[[#This Row],[!Description]]) &gt; 0, Table2[[#This Row],[!Description]], "rg:None")</f>
        <v>A flag indicating if this ConditionType should be used on new rental agreements.</v>
      </c>
      <c r="W374" s="14" t="str">
        <f>IF(LEN(Table2[[#This Row],[!FK]])&gt;0,Table2[[#This Row],[!FK]],"rg:None")</f>
        <v>rg:None</v>
      </c>
      <c r="X374" s="14" t="str">
        <f>IF(LEN(concatif2(A:A,Table2[[#This Row],[!Table]],G:G,"Y",D:D,",")) &gt; 0,"rg:[ { 'req' : '"&amp;concatif2(A:A,Table2[[#This Row],[!Table]],G:G,"Y",D:D,"' }, { 'req': '")&amp;"'} ]","rg:[]")</f>
        <v>rg:[ { 'req' : 'conditionTypeCode' }, { 'req': 'description' }, { 'req': 'active'} ]</v>
      </c>
      <c r="Y374" s="14" t="str">
        <f>IF(LEN(Table2[[#This Row],[!Unique]])&gt;0,IF(Table2[[#This Row],[!Type]] = "id", "rg:None","rg:True"),"rg:None")</f>
        <v>rg:None</v>
      </c>
    </row>
    <row r="375" spans="1:25" x14ac:dyDescent="0.3">
      <c r="A375" s="176" t="s">
        <v>458</v>
      </c>
      <c r="B375" s="176"/>
      <c r="C375" s="176"/>
      <c r="D375" s="176"/>
      <c r="E375" s="177"/>
      <c r="F375" s="177"/>
      <c r="G375" s="176"/>
      <c r="H375" s="176"/>
      <c r="I375" s="8"/>
      <c r="J375" s="8"/>
      <c r="K375" s="8"/>
      <c r="L375" s="8"/>
      <c r="M375" s="8"/>
      <c r="N375" s="8"/>
      <c r="O375" s="8"/>
      <c r="P375" s="8"/>
      <c r="Q375" s="8"/>
      <c r="R375" s="8"/>
      <c r="S375" s="8"/>
      <c r="T375" s="8"/>
      <c r="U375" s="8"/>
      <c r="V375" s="8"/>
      <c r="W375" s="8"/>
      <c r="Y375" s="8">
        <f>SUBTOTAL(103,Table2[Unique])</f>
        <v>373</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591</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593</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592</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206</v>
      </c>
      <c r="C5" s="56" t="s">
        <v>182</v>
      </c>
      <c r="D5" s="44" t="s">
        <v>182</v>
      </c>
      <c r="E5" s="44" t="s">
        <v>592</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577</v>
      </c>
      <c r="C6" s="145" t="s">
        <v>566</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577</v>
      </c>
      <c r="C7" s="145" t="s">
        <v>566</v>
      </c>
      <c r="D7" s="146" t="s">
        <v>566</v>
      </c>
      <c r="E7" s="146" t="s">
        <v>592</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592</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590</v>
      </c>
      <c r="C10" s="142" t="s">
        <v>571</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590</v>
      </c>
      <c r="C11" s="142" t="s">
        <v>571</v>
      </c>
      <c r="D11" s="142" t="s">
        <v>571</v>
      </c>
      <c r="E11" s="142" t="s">
        <v>592</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204</v>
      </c>
      <c r="C13" s="43" t="s">
        <v>145</v>
      </c>
      <c r="D13" s="44" t="s">
        <v>145</v>
      </c>
      <c r="E13" s="44" t="s">
        <v>592</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205</v>
      </c>
      <c r="C15" s="43" t="s">
        <v>136</v>
      </c>
      <c r="D15" s="44" t="s">
        <v>136</v>
      </c>
      <c r="E15" s="44" t="s">
        <v>592</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588</v>
      </c>
      <c r="C16" s="155" t="s">
        <v>589</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588</v>
      </c>
      <c r="C17" s="155" t="s">
        <v>589</v>
      </c>
      <c r="D17" s="155" t="s">
        <v>589</v>
      </c>
      <c r="E17" s="152" t="s">
        <v>592</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592</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592</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592</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592</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459</v>
      </c>
      <c r="E22" s="44" t="s">
        <v>592</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592</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592</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592</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592</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592</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592</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592</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592</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592</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592</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207</v>
      </c>
      <c r="C38" s="43" t="s">
        <v>151</v>
      </c>
      <c r="D38" s="44" t="s">
        <v>151</v>
      </c>
      <c r="E38" s="44" t="s">
        <v>592</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592</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212</v>
      </c>
      <c r="C42" s="37" t="s">
        <v>109</v>
      </c>
      <c r="D42" s="36" t="s">
        <v>109</v>
      </c>
      <c r="E42" s="45" t="s">
        <v>592</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592</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3" t="s">
        <v>175</v>
      </c>
      <c r="C46" s="37" t="s">
        <v>158</v>
      </c>
      <c r="D46" s="36" t="s">
        <v>158</v>
      </c>
      <c r="E46" s="45" t="s">
        <v>592</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502</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502</v>
      </c>
      <c r="C48" t="s">
        <v>59</v>
      </c>
      <c r="D48" s="36" t="s">
        <v>59</v>
      </c>
      <c r="E48" s="44" t="s">
        <v>592</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512</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512</v>
      </c>
      <c r="C50" t="s">
        <v>160</v>
      </c>
      <c r="D50" s="36" t="s">
        <v>160</v>
      </c>
      <c r="E50" s="44" t="s">
        <v>592</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503</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503</v>
      </c>
      <c r="C52" t="s">
        <v>198</v>
      </c>
      <c r="D52" s="36" t="s">
        <v>198</v>
      </c>
      <c r="E52" s="44" t="s">
        <v>592</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504</v>
      </c>
      <c r="C53" t="s">
        <v>474</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504</v>
      </c>
      <c r="C54" t="s">
        <v>474</v>
      </c>
      <c r="D54" s="36" t="s">
        <v>474</v>
      </c>
      <c r="E54" s="45" t="s">
        <v>592</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505</v>
      </c>
      <c r="C55" t="s">
        <v>461</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505</v>
      </c>
      <c r="C56" t="s">
        <v>461</v>
      </c>
      <c r="D56" s="36" t="s">
        <v>461</v>
      </c>
      <c r="E56" s="45" t="s">
        <v>592</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506</v>
      </c>
      <c r="C57" t="s">
        <v>426</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506</v>
      </c>
      <c r="C58" t="s">
        <v>426</v>
      </c>
      <c r="D58" s="36" t="s">
        <v>426</v>
      </c>
      <c r="E58" s="45" t="s">
        <v>592</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507</v>
      </c>
      <c r="C59" t="s">
        <v>444</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507</v>
      </c>
      <c r="C60" t="s">
        <v>444</v>
      </c>
      <c r="D60" s="36" t="s">
        <v>444</v>
      </c>
      <c r="E60" s="44" t="s">
        <v>592</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508</v>
      </c>
      <c r="C61" t="s">
        <v>427</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508</v>
      </c>
      <c r="C62" t="s">
        <v>427</v>
      </c>
      <c r="D62" s="36" t="s">
        <v>427</v>
      </c>
      <c r="E62" s="44" t="s">
        <v>592</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592</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509</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509</v>
      </c>
      <c r="C66" t="s">
        <v>147</v>
      </c>
      <c r="D66" s="36" t="s">
        <v>147</v>
      </c>
      <c r="E66" s="45" t="s">
        <v>592</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510</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510</v>
      </c>
      <c r="C68" t="s">
        <v>201</v>
      </c>
      <c r="D68" s="36" t="s">
        <v>201</v>
      </c>
      <c r="E68" s="45" t="s">
        <v>592</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511</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511</v>
      </c>
      <c r="C70" t="s">
        <v>22</v>
      </c>
      <c r="D70" s="36" t="s">
        <v>22</v>
      </c>
      <c r="E70" s="45" t="s">
        <v>592</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592</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592</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Paul Litton</cp:lastModifiedBy>
  <cp:lastPrinted>2015-09-01T04:09:57Z</cp:lastPrinted>
  <dcterms:created xsi:type="dcterms:W3CDTF">2014-10-09T20:48:06Z</dcterms:created>
  <dcterms:modified xsi:type="dcterms:W3CDTF">2018-02-05T18:58:45Z</dcterms:modified>
</cp:coreProperties>
</file>