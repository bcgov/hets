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paths.csv!$A$1:$F$33</definedName>
  </definedNames>
  <calcPr calcId="171027"/>
</workbook>
</file>

<file path=xl/calcChain.xml><?xml version="1.0" encoding="utf-8"?>
<calcChain xmlns="http://schemas.openxmlformats.org/spreadsheetml/2006/main">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6" i="27"/>
  <c r="J6" i="27"/>
  <c r="K6" i="27"/>
  <c r="L6" i="27"/>
  <c r="M6" i="27"/>
  <c r="N6" i="27"/>
  <c r="O6" i="27"/>
  <c r="P6" i="27"/>
  <c r="Q6" i="27"/>
  <c r="R6" i="27"/>
  <c r="S6" i="27"/>
  <c r="T6" i="27"/>
  <c r="U6" i="27"/>
  <c r="V6" i="27"/>
  <c r="W6"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1" i="27"/>
  <c r="J31" i="27"/>
  <c r="K31" i="27"/>
  <c r="L31" i="27"/>
  <c r="M31" i="27"/>
  <c r="N31" i="27"/>
  <c r="O31" i="27"/>
  <c r="P31" i="27"/>
  <c r="Q31" i="27"/>
  <c r="R31" i="27"/>
  <c r="S31" i="27"/>
  <c r="T31" i="27"/>
  <c r="U31" i="27"/>
  <c r="V31" i="27"/>
  <c r="W31"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4" i="27"/>
  <c r="J64" i="27"/>
  <c r="K64" i="27"/>
  <c r="L64" i="27"/>
  <c r="M64" i="27"/>
  <c r="N64" i="27"/>
  <c r="O64" i="27"/>
  <c r="P64" i="27"/>
  <c r="Q64" i="27"/>
  <c r="R64" i="27"/>
  <c r="S64" i="27"/>
  <c r="T64" i="27"/>
  <c r="U64" i="27"/>
  <c r="V64" i="27"/>
  <c r="W64" i="27"/>
  <c r="I65" i="27"/>
  <c r="J65" i="27"/>
  <c r="K65" i="27"/>
  <c r="L65" i="27"/>
  <c r="M65" i="27"/>
  <c r="N65" i="27"/>
  <c r="O65" i="27"/>
  <c r="P65" i="27"/>
  <c r="Q65" i="27"/>
  <c r="R65" i="27"/>
  <c r="S65" i="27"/>
  <c r="T65" i="27"/>
  <c r="U65" i="27"/>
  <c r="V65" i="27"/>
  <c r="W65" i="27"/>
  <c r="I66" i="27"/>
  <c r="J66" i="27"/>
  <c r="K66" i="27"/>
  <c r="L66" i="27"/>
  <c r="M66" i="27"/>
  <c r="N66" i="27"/>
  <c r="O66" i="27"/>
  <c r="P66" i="27"/>
  <c r="Q66" i="27"/>
  <c r="R66" i="27"/>
  <c r="S66" i="27"/>
  <c r="T66" i="27"/>
  <c r="U66" i="27"/>
  <c r="V66" i="27"/>
  <c r="W66" i="27"/>
  <c r="I67" i="27"/>
  <c r="J67" i="27"/>
  <c r="K67" i="27"/>
  <c r="L67" i="27"/>
  <c r="M67" i="27"/>
  <c r="N67" i="27"/>
  <c r="O67" i="27"/>
  <c r="P67" i="27"/>
  <c r="Q67" i="27"/>
  <c r="R67" i="27"/>
  <c r="S67" i="27"/>
  <c r="T67" i="27"/>
  <c r="U67" i="27"/>
  <c r="V67" i="27"/>
  <c r="W67" i="27"/>
  <c r="I68" i="27"/>
  <c r="J68" i="27"/>
  <c r="K68" i="27"/>
  <c r="L68" i="27"/>
  <c r="M68" i="27"/>
  <c r="N68" i="27"/>
  <c r="O68" i="27"/>
  <c r="P68" i="27"/>
  <c r="Q68" i="27"/>
  <c r="R68" i="27"/>
  <c r="S68" i="27"/>
  <c r="T68" i="27"/>
  <c r="U68" i="27"/>
  <c r="V68" i="27"/>
  <c r="W68"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E183" i="27"/>
  <c r="V183" i="27" s="1"/>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E187" i="27"/>
  <c r="V187" i="27" s="1"/>
  <c r="I187" i="27"/>
  <c r="J187" i="27"/>
  <c r="K187" i="27"/>
  <c r="L187" i="27"/>
  <c r="M187" i="27"/>
  <c r="N187" i="27"/>
  <c r="O187" i="27"/>
  <c r="P187" i="27"/>
  <c r="Q187" i="27"/>
  <c r="R187" i="27"/>
  <c r="S187" i="27"/>
  <c r="T187" i="27"/>
  <c r="U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E206" i="27"/>
  <c r="V206" i="27" s="1"/>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V229" i="27"/>
  <c r="I229" i="27"/>
  <c r="J229" i="27"/>
  <c r="K229" i="27"/>
  <c r="L229" i="27"/>
  <c r="M229" i="27"/>
  <c r="N229" i="27"/>
  <c r="O229" i="27"/>
  <c r="P229" i="27"/>
  <c r="Q229" i="27"/>
  <c r="R229" i="27"/>
  <c r="S229" i="27"/>
  <c r="T229" i="27"/>
  <c r="U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V266" i="27"/>
  <c r="I266" i="27"/>
  <c r="J266" i="27"/>
  <c r="K266" i="27"/>
  <c r="L266" i="27"/>
  <c r="M266" i="27"/>
  <c r="N266" i="27"/>
  <c r="O266" i="27"/>
  <c r="P266" i="27"/>
  <c r="Q266" i="27"/>
  <c r="R266" i="27"/>
  <c r="S266" i="27"/>
  <c r="T266" i="27"/>
  <c r="U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X2" i="27"/>
  <c r="X3" i="27"/>
  <c r="X4" i="27"/>
  <c r="X5" i="27"/>
  <c r="X6" i="27"/>
  <c r="X7" i="27"/>
  <c r="X8" i="27"/>
  <c r="X9" i="27"/>
  <c r="X10" i="27"/>
  <c r="X11" i="27"/>
  <c r="X12" i="27"/>
  <c r="X13" i="27"/>
  <c r="X14" i="27"/>
  <c r="X15" i="27"/>
  <c r="X16" i="27"/>
  <c r="X17" i="27"/>
  <c r="X18" i="27"/>
  <c r="X19" i="27"/>
  <c r="X20" i="27"/>
  <c r="X21" i="27"/>
  <c r="X22" i="27"/>
  <c r="X23" i="27"/>
  <c r="X24" i="27"/>
  <c r="X25" i="27"/>
  <c r="X26" i="27"/>
  <c r="X27" i="27"/>
  <c r="X28" i="27"/>
  <c r="X29" i="27"/>
  <c r="X30" i="27"/>
  <c r="X31" i="27"/>
  <c r="X32" i="27"/>
  <c r="X33" i="27"/>
  <c r="X34" i="27"/>
  <c r="X35" i="27"/>
  <c r="X36" i="27"/>
  <c r="X37" i="27"/>
  <c r="X38" i="27"/>
  <c r="X39" i="27"/>
  <c r="X40" i="27"/>
  <c r="X41" i="27"/>
  <c r="X42" i="27"/>
  <c r="X43" i="27"/>
  <c r="X44" i="27"/>
  <c r="X45" i="27"/>
  <c r="X46" i="27"/>
  <c r="X47" i="27"/>
  <c r="X48" i="27"/>
  <c r="X49" i="27"/>
  <c r="X50" i="27"/>
  <c r="X51" i="27"/>
  <c r="X52" i="27"/>
  <c r="X53" i="27"/>
  <c r="X54" i="27"/>
  <c r="X55" i="27"/>
  <c r="X56" i="27"/>
  <c r="X57" i="27"/>
  <c r="X58" i="27"/>
  <c r="X59" i="27"/>
  <c r="X60" i="27"/>
  <c r="X61" i="27"/>
  <c r="X62" i="27"/>
  <c r="X63" i="27"/>
  <c r="X64" i="27"/>
  <c r="X65" i="27"/>
  <c r="X66" i="27"/>
  <c r="X67" i="27"/>
  <c r="X68" i="27"/>
  <c r="X69" i="27"/>
  <c r="X70" i="27"/>
  <c r="X71" i="27"/>
  <c r="X72" i="27"/>
  <c r="X73" i="27"/>
  <c r="X74" i="27"/>
  <c r="X75" i="27"/>
  <c r="X76" i="27"/>
  <c r="X77" i="27"/>
  <c r="X78" i="27"/>
  <c r="X79" i="27"/>
  <c r="X80" i="27"/>
  <c r="X81" i="27"/>
  <c r="X82" i="27"/>
  <c r="X83" i="27"/>
  <c r="X84" i="27"/>
  <c r="X85" i="27"/>
  <c r="X86" i="27"/>
  <c r="X87" i="27"/>
  <c r="X88" i="27"/>
  <c r="X89" i="27"/>
  <c r="X90" i="27"/>
  <c r="X91" i="27"/>
  <c r="X92" i="27"/>
  <c r="X93" i="27"/>
  <c r="X94" i="27"/>
  <c r="X95" i="27"/>
  <c r="X96" i="27"/>
  <c r="X97" i="27"/>
  <c r="X98" i="27"/>
  <c r="X99" i="27"/>
  <c r="X100" i="27"/>
  <c r="X101" i="27"/>
  <c r="X102" i="27"/>
  <c r="X103" i="27"/>
  <c r="X104" i="27"/>
  <c r="X105" i="27"/>
  <c r="X106" i="27"/>
  <c r="X107" i="27"/>
  <c r="X108" i="27"/>
  <c r="X109" i="27"/>
  <c r="X110" i="27"/>
  <c r="X111" i="27"/>
  <c r="X112" i="27"/>
  <c r="X113" i="27"/>
  <c r="X114" i="27"/>
  <c r="X115" i="27"/>
  <c r="X116" i="27"/>
  <c r="X117" i="27"/>
  <c r="X118" i="27"/>
  <c r="X119" i="27"/>
  <c r="X120" i="27"/>
  <c r="X121" i="27"/>
  <c r="X122" i="27"/>
  <c r="X123" i="27"/>
  <c r="X124" i="27"/>
  <c r="X125" i="27"/>
  <c r="X126" i="27"/>
  <c r="X127" i="27"/>
  <c r="X128" i="27"/>
  <c r="X129" i="27"/>
  <c r="X130" i="27"/>
  <c r="X131" i="27"/>
  <c r="X132" i="27"/>
  <c r="X133" i="27"/>
  <c r="X134" i="27"/>
  <c r="X135" i="27"/>
  <c r="X136" i="27"/>
  <c r="X137" i="27"/>
  <c r="X138" i="27"/>
  <c r="X139" i="27"/>
  <c r="X140" i="27"/>
  <c r="X141" i="27"/>
  <c r="X142" i="27"/>
  <c r="X143" i="27"/>
  <c r="X144" i="27"/>
  <c r="X145" i="27"/>
  <c r="X146" i="27"/>
  <c r="X147" i="27"/>
  <c r="X148" i="27"/>
  <c r="X149" i="27"/>
  <c r="X150" i="27"/>
  <c r="X151" i="27"/>
  <c r="X152" i="27"/>
  <c r="X153" i="27"/>
  <c r="X154" i="27"/>
  <c r="X155" i="27"/>
  <c r="X156" i="27"/>
  <c r="X157" i="27"/>
  <c r="X158" i="27"/>
  <c r="X159" i="27"/>
  <c r="X160" i="27"/>
  <c r="X161" i="27"/>
  <c r="X162" i="27"/>
  <c r="X163" i="27"/>
  <c r="X164" i="27"/>
  <c r="X165" i="27"/>
  <c r="X166" i="27"/>
  <c r="X167" i="27"/>
  <c r="X168" i="27"/>
  <c r="X169" i="27"/>
  <c r="X170" i="27"/>
  <c r="X171" i="27"/>
  <c r="X172" i="27"/>
  <c r="X173" i="27"/>
  <c r="X174" i="27"/>
  <c r="X175" i="27"/>
  <c r="X176" i="27"/>
  <c r="X177" i="27"/>
  <c r="X178" i="27"/>
  <c r="X179" i="27"/>
  <c r="X180" i="27"/>
  <c r="X181" i="27"/>
  <c r="X182" i="27"/>
  <c r="X183" i="27"/>
  <c r="X184" i="27"/>
  <c r="X185" i="27"/>
  <c r="X186" i="27"/>
  <c r="X187" i="27"/>
  <c r="X188" i="27"/>
  <c r="X189" i="27"/>
  <c r="X190" i="27"/>
  <c r="X191" i="27"/>
  <c r="X192" i="27"/>
  <c r="X193" i="27"/>
  <c r="X194" i="27"/>
  <c r="X195" i="27"/>
  <c r="X196" i="27"/>
  <c r="X197" i="27"/>
  <c r="X198" i="27"/>
  <c r="X199" i="27"/>
  <c r="X200" i="27"/>
  <c r="X201" i="27"/>
  <c r="X202" i="27"/>
  <c r="X203" i="27"/>
  <c r="X204" i="27"/>
  <c r="X205" i="27"/>
  <c r="X206" i="27"/>
  <c r="X207" i="27"/>
  <c r="X208" i="27"/>
  <c r="X209" i="27"/>
  <c r="X210" i="27"/>
  <c r="X211" i="27"/>
  <c r="X212" i="27"/>
  <c r="X213" i="27"/>
  <c r="X214" i="27"/>
  <c r="X215" i="27"/>
  <c r="X216" i="27"/>
  <c r="X217" i="27"/>
  <c r="X218" i="27"/>
  <c r="X219" i="27"/>
  <c r="X220" i="27"/>
  <c r="X221" i="27"/>
  <c r="X222" i="27"/>
  <c r="X223" i="27"/>
  <c r="X224" i="27"/>
  <c r="X225" i="27"/>
  <c r="X226" i="27"/>
  <c r="X227" i="27"/>
  <c r="X228" i="27"/>
  <c r="X229" i="27"/>
  <c r="X230" i="27"/>
  <c r="X231" i="27"/>
  <c r="X232" i="27"/>
  <c r="X233" i="27"/>
  <c r="X234" i="27"/>
  <c r="X235" i="27"/>
  <c r="X236" i="27"/>
  <c r="X237" i="27"/>
  <c r="X238" i="27"/>
  <c r="X239" i="27"/>
  <c r="X240" i="27"/>
  <c r="X241" i="27"/>
  <c r="X242" i="27"/>
  <c r="X243" i="27"/>
  <c r="X244" i="27"/>
  <c r="X245" i="27"/>
  <c r="X246" i="27"/>
  <c r="X247" i="27"/>
  <c r="X248" i="27"/>
  <c r="X249" i="27"/>
  <c r="X250" i="27"/>
  <c r="X251" i="27"/>
  <c r="X252" i="27"/>
  <c r="X253" i="27"/>
  <c r="X254" i="27"/>
  <c r="X255" i="27"/>
  <c r="X262" i="27"/>
  <c r="X265" i="27"/>
  <c r="X267" i="27"/>
  <c r="X269" i="27"/>
  <c r="X271" i="27"/>
  <c r="X274" i="27"/>
  <c r="X277" i="27"/>
  <c r="X280" i="27"/>
  <c r="X282" i="27"/>
  <c r="X287" i="27"/>
  <c r="X292" i="27"/>
  <c r="X297" i="27"/>
  <c r="X300" i="27"/>
  <c r="X303" i="27"/>
  <c r="X305" i="27"/>
  <c r="X306" i="27"/>
  <c r="X308" i="27"/>
  <c r="X311" i="27"/>
  <c r="X314" i="27"/>
  <c r="X317" i="27"/>
  <c r="X319" i="27"/>
  <c r="X322" i="27"/>
  <c r="X324" i="27"/>
  <c r="X327" i="27"/>
  <c r="X330" i="27"/>
  <c r="X331" i="27"/>
  <c r="X334" i="27"/>
  <c r="X337" i="27"/>
  <c r="X257" i="27"/>
  <c r="X260" i="27"/>
  <c r="X266" i="27"/>
  <c r="X270" i="27"/>
  <c r="X273" i="27"/>
  <c r="X275" i="27"/>
  <c r="X278" i="27"/>
  <c r="X281" i="27"/>
  <c r="X283" i="27"/>
  <c r="X284" i="27"/>
  <c r="X286" i="27"/>
  <c r="X289" i="27"/>
  <c r="X290" i="27"/>
  <c r="X293" i="27"/>
  <c r="X296" i="27"/>
  <c r="X299" i="27"/>
  <c r="X302" i="27"/>
  <c r="X309" i="27"/>
  <c r="X313" i="27"/>
  <c r="X316" i="27"/>
  <c r="X320" i="27"/>
  <c r="X323" i="27"/>
  <c r="X325" i="27"/>
  <c r="X326" i="27"/>
  <c r="X329" i="27"/>
  <c r="X333" i="27"/>
  <c r="X338" i="27"/>
  <c r="X256" i="27"/>
  <c r="X258" i="27"/>
  <c r="X259" i="27"/>
  <c r="X261" i="27"/>
  <c r="X263" i="27"/>
  <c r="X264" i="27"/>
  <c r="X268" i="27"/>
  <c r="X272" i="27"/>
  <c r="X276" i="27"/>
  <c r="X279" i="27"/>
  <c r="X285" i="27"/>
  <c r="X288" i="27"/>
  <c r="X291" i="27"/>
  <c r="X294" i="27"/>
  <c r="X295" i="27"/>
  <c r="X298" i="27"/>
  <c r="X301" i="27"/>
  <c r="X304" i="27"/>
  <c r="X307" i="27"/>
  <c r="X310" i="27"/>
  <c r="X312" i="27"/>
  <c r="X315" i="27"/>
  <c r="X318" i="27"/>
  <c r="X321" i="27"/>
  <c r="X328" i="27"/>
  <c r="X332" i="27"/>
  <c r="X335" i="27"/>
  <c r="X336" i="27"/>
  <c r="G33" i="30" l="1"/>
  <c r="H33" i="30"/>
  <c r="I33" i="30"/>
  <c r="J33" i="30"/>
  <c r="K33" i="30"/>
  <c r="L33" i="30"/>
  <c r="M33" i="30"/>
  <c r="N33" i="30"/>
  <c r="O33" i="30"/>
  <c r="P33" i="30"/>
  <c r="Q33" i="30"/>
  <c r="R33" i="30"/>
  <c r="S33" i="30"/>
  <c r="T33" i="30"/>
  <c r="G32" i="30"/>
  <c r="H32" i="30"/>
  <c r="I32" i="30"/>
  <c r="J32" i="30"/>
  <c r="K32" i="30"/>
  <c r="L32" i="30"/>
  <c r="M32" i="30"/>
  <c r="N32" i="30"/>
  <c r="O32" i="30"/>
  <c r="P32" i="30"/>
  <c r="Q32" i="30"/>
  <c r="R32" i="30"/>
  <c r="S32" i="30"/>
  <c r="T32" i="30"/>
  <c r="G31" i="30"/>
  <c r="H31" i="30"/>
  <c r="I31" i="30"/>
  <c r="J31" i="30"/>
  <c r="K31" i="30"/>
  <c r="L31" i="30"/>
  <c r="M31" i="30"/>
  <c r="N31" i="30"/>
  <c r="O31" i="30"/>
  <c r="P31" i="30"/>
  <c r="Q31" i="30"/>
  <c r="R31" i="30"/>
  <c r="S31" i="30"/>
  <c r="T31" i="30"/>
  <c r="G30" i="30"/>
  <c r="H30" i="30"/>
  <c r="I30" i="30"/>
  <c r="J30" i="30"/>
  <c r="K30" i="30"/>
  <c r="L30" i="30"/>
  <c r="M30" i="30"/>
  <c r="N30" i="30"/>
  <c r="O30" i="30"/>
  <c r="P30" i="30"/>
  <c r="Q30" i="30"/>
  <c r="R30" i="30"/>
  <c r="S30" i="30"/>
  <c r="T30" i="30"/>
  <c r="R29" i="30"/>
  <c r="G29" i="30"/>
  <c r="H29" i="30"/>
  <c r="I29" i="30"/>
  <c r="J29" i="30"/>
  <c r="K29" i="30"/>
  <c r="L29" i="30"/>
  <c r="M29" i="30"/>
  <c r="N29" i="30"/>
  <c r="O29" i="30"/>
  <c r="P29" i="30"/>
  <c r="Q29" i="30"/>
  <c r="S29" i="30"/>
  <c r="T29" i="30"/>
  <c r="G28" i="30"/>
  <c r="H28" i="30"/>
  <c r="I28" i="30"/>
  <c r="J28" i="30"/>
  <c r="K28" i="30"/>
  <c r="L28" i="30"/>
  <c r="M28" i="30"/>
  <c r="N28" i="30"/>
  <c r="O28" i="30"/>
  <c r="P28" i="30"/>
  <c r="Q28" i="30"/>
  <c r="R28" i="30"/>
  <c r="S28" i="30"/>
  <c r="T28" i="30"/>
  <c r="R27" i="30"/>
  <c r="G27" i="30"/>
  <c r="H27" i="30"/>
  <c r="I27" i="30"/>
  <c r="J27" i="30"/>
  <c r="K27" i="30"/>
  <c r="L27" i="30"/>
  <c r="M27" i="30"/>
  <c r="N27" i="30"/>
  <c r="O27" i="30"/>
  <c r="P27" i="30"/>
  <c r="Q27" i="30"/>
  <c r="S27" i="30"/>
  <c r="T27" i="30"/>
  <c r="R26" i="30"/>
  <c r="G26" i="30"/>
  <c r="H26" i="30"/>
  <c r="I26" i="30"/>
  <c r="J26" i="30"/>
  <c r="K26" i="30"/>
  <c r="L26" i="30"/>
  <c r="M26" i="30"/>
  <c r="N26" i="30"/>
  <c r="O26" i="30"/>
  <c r="P26" i="30"/>
  <c r="Q26" i="30"/>
  <c r="S26" i="30"/>
  <c r="T26" i="30"/>
  <c r="G25" i="30"/>
  <c r="H25" i="30"/>
  <c r="I25" i="30"/>
  <c r="J25" i="30"/>
  <c r="K25" i="30"/>
  <c r="L25" i="30"/>
  <c r="M25" i="30"/>
  <c r="N25" i="30"/>
  <c r="O25" i="30"/>
  <c r="P25" i="30"/>
  <c r="Q25" i="30"/>
  <c r="R25" i="30"/>
  <c r="S25" i="30"/>
  <c r="T25" i="30"/>
  <c r="G24" i="30"/>
  <c r="H24" i="30"/>
  <c r="I24" i="30"/>
  <c r="J24" i="30"/>
  <c r="K24" i="30"/>
  <c r="L24" i="30"/>
  <c r="M24" i="30"/>
  <c r="N24" i="30"/>
  <c r="O24" i="30"/>
  <c r="P24" i="30"/>
  <c r="Q24" i="30"/>
  <c r="R24" i="30"/>
  <c r="S24" i="30"/>
  <c r="T24" i="30"/>
  <c r="G23" i="30"/>
  <c r="H23" i="30"/>
  <c r="I23" i="30"/>
  <c r="J23" i="30"/>
  <c r="K23" i="30"/>
  <c r="L23" i="30"/>
  <c r="M23" i="30"/>
  <c r="N23" i="30"/>
  <c r="O23" i="30"/>
  <c r="P23" i="30"/>
  <c r="Q23" i="30"/>
  <c r="R23" i="30"/>
  <c r="S23" i="30"/>
  <c r="T23" i="30"/>
  <c r="R22" i="30"/>
  <c r="G22" i="30"/>
  <c r="H22" i="30"/>
  <c r="I22" i="30"/>
  <c r="J22" i="30"/>
  <c r="K22" i="30"/>
  <c r="L22" i="30"/>
  <c r="M22" i="30"/>
  <c r="N22" i="30"/>
  <c r="O22" i="30"/>
  <c r="P22" i="30"/>
  <c r="Q22" i="30"/>
  <c r="S22" i="30"/>
  <c r="T22" i="30"/>
  <c r="G9" i="30" l="1"/>
  <c r="H9" i="30"/>
  <c r="I9" i="30"/>
  <c r="J9" i="30"/>
  <c r="K9" i="30"/>
  <c r="L9" i="30"/>
  <c r="M9" i="30"/>
  <c r="N9" i="30"/>
  <c r="O9" i="30"/>
  <c r="P9" i="30"/>
  <c r="Q9" i="30"/>
  <c r="R9" i="30"/>
  <c r="S9" i="30"/>
  <c r="T9" i="30"/>
  <c r="R11" i="30"/>
  <c r="G11" i="30"/>
  <c r="H11" i="30"/>
  <c r="I11" i="30"/>
  <c r="J11" i="30"/>
  <c r="K11" i="30"/>
  <c r="L11" i="30"/>
  <c r="M11" i="30"/>
  <c r="N11" i="30"/>
  <c r="O11" i="30"/>
  <c r="P11" i="30"/>
  <c r="Q11" i="30"/>
  <c r="S11" i="30"/>
  <c r="T11" i="30"/>
  <c r="R14" i="30"/>
  <c r="G14" i="30"/>
  <c r="H14" i="30"/>
  <c r="I14" i="30"/>
  <c r="J14" i="30"/>
  <c r="K14" i="30"/>
  <c r="L14" i="30"/>
  <c r="M14" i="30"/>
  <c r="N14" i="30"/>
  <c r="O14" i="30"/>
  <c r="P14" i="30"/>
  <c r="Q14" i="30"/>
  <c r="S14" i="30"/>
  <c r="T14" i="30"/>
  <c r="T21" i="30" l="1"/>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7" i="30"/>
  <c r="S17" i="30"/>
  <c r="R17" i="30"/>
  <c r="Q17" i="30"/>
  <c r="P17" i="30"/>
  <c r="O17" i="30"/>
  <c r="N17" i="30"/>
  <c r="M17" i="30"/>
  <c r="L17" i="30"/>
  <c r="K17" i="30"/>
  <c r="J17" i="30"/>
  <c r="I17" i="30"/>
  <c r="H17" i="30"/>
  <c r="G17" i="30"/>
  <c r="T16" i="30"/>
  <c r="S16" i="30"/>
  <c r="R16" i="30"/>
  <c r="Q16" i="30"/>
  <c r="P16" i="30"/>
  <c r="O16" i="30"/>
  <c r="N16" i="30"/>
  <c r="M16" i="30"/>
  <c r="L16" i="30"/>
  <c r="K16" i="30"/>
  <c r="J16" i="30"/>
  <c r="I16" i="30"/>
  <c r="H16" i="30"/>
  <c r="G16" i="30"/>
  <c r="T15" i="30"/>
  <c r="S15" i="30"/>
  <c r="R15" i="30"/>
  <c r="Q15" i="30"/>
  <c r="P15" i="30"/>
  <c r="O15" i="30"/>
  <c r="N15" i="30"/>
  <c r="M15" i="30"/>
  <c r="L15" i="30"/>
  <c r="K15" i="30"/>
  <c r="J15" i="30"/>
  <c r="I15" i="30"/>
  <c r="H15" i="30"/>
  <c r="G15" i="30"/>
  <c r="T13" i="30"/>
  <c r="S13" i="30"/>
  <c r="R13" i="30"/>
  <c r="Q13" i="30"/>
  <c r="P13" i="30"/>
  <c r="O13" i="30"/>
  <c r="N13" i="30"/>
  <c r="M13" i="30"/>
  <c r="L13" i="30"/>
  <c r="K13" i="30"/>
  <c r="J13" i="30"/>
  <c r="I13" i="30"/>
  <c r="H13" i="30"/>
  <c r="G13"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7" i="30"/>
  <c r="S7" i="30"/>
  <c r="R7" i="30"/>
  <c r="Q7" i="30"/>
  <c r="P7" i="30"/>
  <c r="O7" i="30"/>
  <c r="N7" i="30"/>
  <c r="M7" i="30"/>
  <c r="L7" i="30"/>
  <c r="K7" i="30"/>
  <c r="J7" i="30"/>
  <c r="I7" i="30"/>
  <c r="H7" i="30"/>
  <c r="G7" i="30"/>
  <c r="T6" i="30"/>
  <c r="S6" i="30"/>
  <c r="R6" i="30"/>
  <c r="Q6" i="30"/>
  <c r="P6" i="30"/>
  <c r="O6" i="30"/>
  <c r="N6" i="30"/>
  <c r="M6" i="30"/>
  <c r="L6" i="30"/>
  <c r="K6" i="30"/>
  <c r="J6" i="30"/>
  <c r="I6" i="30"/>
  <c r="H6" i="30"/>
  <c r="G6" i="30"/>
  <c r="T5" i="30"/>
  <c r="S5" i="30"/>
  <c r="R5" i="30"/>
  <c r="Q5" i="30"/>
  <c r="P5" i="30"/>
  <c r="O5" i="30"/>
  <c r="N5" i="30"/>
  <c r="M5" i="30"/>
  <c r="L5" i="30"/>
  <c r="K5" i="30"/>
  <c r="J5" i="30"/>
  <c r="I5" i="30"/>
  <c r="H5" i="30"/>
  <c r="G5" i="30"/>
  <c r="T4" i="30"/>
  <c r="S4" i="30"/>
  <c r="R4" i="30"/>
  <c r="Q4" i="30"/>
  <c r="P4" i="30"/>
  <c r="O4" i="30"/>
  <c r="N4" i="30"/>
  <c r="M4" i="30"/>
  <c r="L4" i="30"/>
  <c r="K4" i="30"/>
  <c r="J4" i="30"/>
  <c r="I4" i="30"/>
  <c r="H4" i="30"/>
  <c r="G4" i="30"/>
  <c r="T3" i="30"/>
  <c r="S3" i="30"/>
  <c r="R3" i="30"/>
  <c r="Q3" i="30"/>
  <c r="P3" i="30"/>
  <c r="O3" i="30"/>
  <c r="N3" i="30"/>
  <c r="M3" i="30"/>
  <c r="L3" i="30"/>
  <c r="K3" i="30"/>
  <c r="J3" i="30"/>
  <c r="I3" i="30"/>
  <c r="H3" i="30"/>
  <c r="G3"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<sst xmlns="http://schemas.openxmlformats.org/spreadsheetml/2006/main" count="1817" uniqueCount="529">
  <si>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</si>
  <si>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</si>
  <si>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</si>
  <si>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</si>
  <si>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</si>
  <si>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</si>
  <si>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</si>
  <si>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</si>
  <si>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</si>
  <si>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</si>
  <si>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</si>
  <si>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</si>
  <si>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</si>
  <si>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</si>
  <si>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</si>
  <si>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</si>
  <si>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</si>
  <si>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</si>
  <si>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</si>
  <si>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</si>
  <si>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</si>
  <si>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</si>
  <si>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</si>
  <si>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</si>
  <si>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</si>
  <si>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</si>
  <si>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</si>
  <si>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</si>
  <si>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</si>
  <si>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</si>
  <si>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</si>
  <si>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</si>
  <si>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</si>
  <si>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</si>
  <si>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</si>
  <si>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</si>
  <si>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</si>
  <si>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</si>
  <si>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</si>
  <si>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</si>
  <si>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</si>
  <si>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</si>
  <si>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</si>
  <si>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</si>
  <si>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</si>
  <si>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</si>
  <si>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</si>
  <si>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</si>
  <si>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</si>
  <si>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</si>
  <si>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</si>
  <si>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</si>
  <si>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</si>
  <si>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</si>
  <si>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</si>
  <si>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</si>
  <si>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</si>
  <si>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</si>
  <si>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</si>
  <si>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</si>
  <si>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</si>
  <si>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</si>
  <si>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</si>
  <si>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</si>
  <si>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</si>
  <si>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</si>
  <si>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</si>
  <si>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</si>
  <si>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</si>
  <si>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</si>
  <si>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</si>
  <si>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</si>
  <si>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</si>
  <si>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</si>
  <si>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</si>
  <si>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</si>
  <si>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</si>
  <si>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</si>
  <si>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</si>
  <si>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</si>
  <si>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</si>
  <si>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</si>
  <si>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</si>
  <si>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</si>
  <si>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</si>
  <si>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</si>
  <si>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</si>
  <si>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</si>
  <si>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</si>
  <si>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</si>
  <si>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</si>
  <si>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</si>
  <si>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</si>
  <si>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</si>
  <si>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</si>
  <si>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</si>
  <si>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</si>
  <si>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</si>
  <si>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</si>
  <si>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</si>
  <si>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</si>
  <si>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</si>
  <si>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</si>
  <si>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</si>
  <si>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</si>
  <si>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</si>
  <si>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</si>
  <si>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</si>
  <si>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</si>
  <si>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</si>
  <si>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</si>
  <si>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</si>
  <si>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</si>
  <si>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</si>
  <si>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</si>
  <si>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</si>
  <si>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</si>
  <si>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RoleViewModel</t>
  </si>
  <si>
    <t>UserViewModel</t>
  </si>
  <si>
    <t>float</t>
  </si>
  <si>
    <t>blockNum</t>
  </si>
  <si>
    <t>cycleNum</t>
  </si>
  <si>
    <t>maxCycle</t>
  </si>
  <si>
    <t>moved</t>
  </si>
  <si>
    <t>startWasZero</t>
  </si>
  <si>
    <t>rotatedBlock</t>
  </si>
  <si>
    <t>blockName</t>
  </si>
  <si>
    <t>closed</t>
  </si>
  <si>
    <t>closedComments</t>
  </si>
  <si>
    <t>closedBy</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</si>
  <si>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</si>
  <si>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</si>
  <si>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</si>
  <si>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</si>
  <si>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</si>
  <si>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</si>
  <si>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</si>
  <si>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</si>
  <si>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</si>
  <si>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</si>
  <si>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</si>
  <si>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</si>
  <si>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</si>
  <si>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</si>
  <si>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</si>
  <si>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</si>
  <si>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</si>
  <si>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</si>
  <si>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</si>
  <si>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</si>
  <si>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</si>
  <si>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</si>
  <si>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equipCd</t>
  </si>
  <si>
    <t>postal</t>
  </si>
  <si>
    <t>comment</t>
  </si>
  <si>
    <t>cycleHrsWrk</t>
  </si>
  <si>
    <t>frozenOut</t>
  </si>
  <si>
    <t>make</t>
  </si>
  <si>
    <t>model</t>
  </si>
  <si>
    <t>year</t>
  </si>
  <si>
    <t>numYears</t>
  </si>
  <si>
    <t>operator</t>
  </si>
  <si>
    <t>payRate</t>
  </si>
  <si>
    <t>Project</t>
  </si>
  <si>
    <t>refuseRate</t>
  </si>
  <si>
    <t>seniority</t>
  </si>
  <si>
    <t>serialNum</t>
  </si>
  <si>
    <t>size</t>
  </si>
  <si>
    <t>working</t>
  </si>
  <si>
    <t>yearEndReg</t>
  </si>
  <si>
    <t>prevRegArea</t>
  </si>
  <si>
    <t>YTD</t>
  </si>
  <si>
    <t>archiveReason</t>
  </si>
  <si>
    <t>draftBlockNum</t>
  </si>
  <si>
    <t>equipRentalRateNo</t>
  </si>
  <si>
    <t>equipRentalRatePage</t>
  </si>
  <si>
    <t>maxHours</t>
  </si>
  <si>
    <t>extendHours</t>
  </si>
  <si>
    <t>maxHoursSub</t>
  </si>
  <si>
    <t>hours</t>
  </si>
  <si>
    <t>rate</t>
  </si>
  <si>
    <t>hours2</t>
  </si>
  <si>
    <t>rate2</t>
  </si>
  <si>
    <t>hours3</t>
  </si>
  <si>
    <t>rate3</t>
  </si>
  <si>
    <t>generatedTime</t>
  </si>
  <si>
    <t>ownerName</t>
  </si>
  <si>
    <t>Owner</t>
  </si>
  <si>
    <t>ownerFirstName</t>
  </si>
  <si>
    <t>ownerLastName</t>
  </si>
  <si>
    <t>WCBNum</t>
  </si>
  <si>
    <t>CGLCompany</t>
  </si>
  <si>
    <t>CGLPolicy</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</si>
  <si>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</si>
  <si>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</si>
  <si>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</si>
  <si>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</si>
  <si>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</si>
  <si>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</si>
  <si>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</si>
  <si>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</si>
  <si>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</si>
  <si>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</si>
  <si>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</si>
  <si>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</si>
  <si>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</si>
  <si>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</si>
  <si>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</si>
  <si>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</si>
  <si>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</si>
  <si>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</si>
  <si>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</si>
  <si>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</si>
  <si>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</si>
  <si>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</si>
  <si>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</si>
  <si>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</si>
  <si>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</si>
  <si>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</si>
  <si>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</si>
  <si>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</si>
  <si>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</si>
  <si>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</si>
  <si>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</si>
  <si>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</si>
  <si>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</si>
  <si>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</si>
  <si>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</si>
  <si>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</si>
  <si>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</si>
  <si>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</si>
  <si>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</si>
  <si>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CGLStartDate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</si>
  <si>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</si>
  <si>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</si>
  <si>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</si>
  <si>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</si>
  <si>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</si>
  <si>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</si>
  <si>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</si>
  <si>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</si>
  <si>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</si>
  <si>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</si>
  <si>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</si>
  <si>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</si>
  <si>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</si>
  <si>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</si>
  <si>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addressLine3</t>
  </si>
  <si>
    <t>addressLine4</t>
  </si>
  <si>
    <t>toDate</t>
  </si>
  <si>
    <t>archiveDate</t>
  </si>
  <si>
    <t>dumpTruckDetails</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</si>
  <si>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</si>
  <si>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</si>
  <si>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</si>
  <si>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</si>
  <si>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</si>
  <si>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</si>
  <si>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</si>
  <si>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</si>
  <si>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</si>
  <si>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</si>
  <si>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</si>
  <si>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</si>
  <si>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RotationList</t>
  </si>
  <si>
    <t>blocks</t>
  </si>
  <si>
    <t>RotationListBlock</t>
  </si>
  <si>
    <t>rotationList</t>
  </si>
  <si>
    <t>The block number. 1 for Primary, 2 for Secondary, 3 for Open</t>
  </si>
  <si>
    <t>closedDate</t>
  </si>
  <si>
    <t>reservedDate</t>
  </si>
  <si>
    <t>reservedBy</t>
  </si>
  <si>
    <t>startCycleEquipment</t>
  </si>
  <si>
    <t>lastHiredEquipment</t>
  </si>
  <si>
    <t>hireOffers</t>
  </si>
  <si>
    <t>HireOffer</t>
  </si>
  <si>
    <t>request</t>
  </si>
  <si>
    <t>refuseReason</t>
  </si>
  <si>
    <t>equipmentVerifiedActive</t>
  </si>
  <si>
    <t>flagEquipmentUpdate</t>
  </si>
  <si>
    <t>equipmentUpdateReason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</si>
  <si>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</si>
  <si>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</si>
  <si>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</si>
  <si>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</si>
  <si>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</si>
  <si>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</si>
  <si>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</si>
  <si>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</si>
  <si>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</si>
  <si>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</si>
  <si>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</si>
  <si>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</si>
  <si>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</si>
  <si>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</si>
  <si>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</si>
  <si>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</si>
  <si>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</si>
  <si>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</si>
  <si>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</si>
  <si>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</si>
  <si>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</si>
  <si>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</si>
  <si>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</si>
  <si>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</si>
  <si>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t>
  </si>
  <si>
    <t>A description entered by the HETS Clerk creating the Project record about the project. The description may contain other metadata about the project needed to process the requests related to the project.</t>
  </si>
  <si>
    <t>Link to the designated Primary Contact for the Project - usually the Project Manager requesting to hire equipment.</t>
  </si>
  <si>
    <t>A collection of requests for equipment to be hired for Provincial Projects. Each request is for one or more instances of a single type of equipment from a single local area.</t>
  </si>
  <si>
    <t>The number of pieces of the equipment type to be procured as part of this request.</t>
  </si>
  <si>
    <t>provincialProjectNumber</t>
  </si>
  <si>
    <t>TO BE VERIFIED - The Provincial charge code for the equipment hiring related to this project. This will be the same across multiple service areas that provide equipment for the same Project.</t>
  </si>
  <si>
    <t>Offers made to hire equipment based on a Request. Each offer made and the result of that order is recorded.</t>
  </si>
  <si>
    <t>A system-generated unique identifier for a HireOffer</t>
  </si>
  <si>
    <t>A system-generated unique identifier for a RotationListBlock</t>
  </si>
  <si>
    <t>A system-generated unique identifier for a RotationList</t>
  </si>
  <si>
    <t>A system-generated unique identifier for a Request</t>
  </si>
  <si>
    <t>A system-generated unique identifier for a Project</t>
  </si>
  <si>
    <t>The rental agreement (if any) created for this accepted hire offer.</t>
  </si>
  <si>
    <t>True if the HETS Clerk designated this hire as being a Forced Hire. A Force Hire implies that the usual seniority rules for hiring are bypassed because of special circumstances related to the hire - e.g. a the hire requires an attachment only one piece of equipment has.</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</si>
  <si>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</si>
  <si>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</si>
  <si>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</si>
  <si>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</si>
  <si>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</si>
  <si>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</si>
  <si>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TO BE REMOVED - THIS IS AN ATTRIBUTE OF THE EQUIPMENT</t>
  </si>
  <si>
    <t>An optional general note about the offer.</t>
  </si>
  <si>
    <t>Information about the hiring of a specific piece of equipment to satisfy part or all of a request from a project.</t>
  </si>
  <si>
    <t>The time records recorded for a piece of equipment hired for a specific project within a localarea.</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</si>
  <si>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</si>
  <si>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</si>
  <si>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</si>
  <si>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</si>
  <si>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</si>
  <si>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The collection of all equipment tracked in the system. Each piece of equipment is of a specific type, is linked to an Equipment Owner, and is managed within a Local Area.</t>
  </si>
  <si>
    <t>equipCode</t>
  </si>
  <si>
    <t>A human-visible unique code for the piece of equipment, referenced for convenience by the system users - HETS Clerks and Equipment Owners. Generated based on a unique Equipment owner prefix (e.g. EDW) and a zero-filled unique number - resulting in a code like EDW-0083.</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</si>
  <si>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</si>
  <si>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</si>
  <si>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</si>
  <si>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</si>
  <si>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TO BE REMOVED - display primary contact of owner</t>
  </si>
  <si>
    <t>TO BE REMOVED - REPLACE WITH NOTES</t>
  </si>
  <si>
    <t>TO BE REMOVED - CALCULATED FROM TIME RECORDS</t>
  </si>
  <si>
    <t>TO BE REMOVED - NO LONGER USED</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</si>
  <si>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</si>
  <si>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</si>
  <si>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</si>
  <si>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</si>
  <si>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</si>
  <si>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</si>
  <si>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TO BE REVIEWED - WHAT IS THIS?</t>
  </si>
  <si>
    <t>The number of years of active service of this piece of equipment at the time seniority is calculated - April 1 of the current FY.</t>
  </si>
  <si>
    <t>TO BE REVIEWED - IS THIS NEEDED?</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</si>
  <si>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</si>
  <si>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</si>
  <si>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WHAT IS THIS?</t>
  </si>
  <si>
    <t>TO BE REMOVED - CALCULATED FROM RENTAL AGREEMENT RECORDS</t>
  </si>
  <si>
    <t>TO BE REMOVED - BASED ON OLD METHOD OF TRACKING ACTIVE EQUIPMENT</t>
  </si>
  <si>
    <t>TO BE REMOVED - AVAILABLE IN THE HISTORY OF THE EQUIPMENT</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</si>
  <si>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</si>
  <si>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</si>
  <si>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</si>
  <si>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</si>
  <si>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</si>
  <si>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</si>
  <si>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</si>
  <si>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</si>
  <si>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</si>
  <si>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 reason code indicating why a piece of equipment has been archived.</t>
  </si>
  <si>
    <t>An optional comment about why this piece of equipment has been archived.</t>
  </si>
  <si>
    <t>The date on which a user most recenly marked this piece of equipment as archived.</t>
  </si>
  <si>
    <t>TO BE REMOVED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</si>
  <si>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</si>
  <si>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</si>
  <si>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</si>
  <si>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</si>
  <si>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</si>
  <si>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</si>
  <si>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</si>
  <si>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</si>
  <si>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</si>
  <si>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</si>
  <si>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</si>
  <si>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</si>
  <si>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</si>
  <si>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</si>
  <si>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</si>
  <si>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</si>
  <si>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</si>
  <si>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</si>
  <si>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</si>
  <si>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</si>
  <si>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</si>
  <si>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</si>
  <si>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</si>
  <si>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</si>
  <si>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</si>
  <si>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</si>
  <si>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</si>
  <si>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</si>
  <si>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</si>
  <si>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http://www.bclaws.ca/EPLibraries/bclaws_new/document/ID/freeside/30_78#AppendicesAtoK, Appendix A and  B. Any metrics information provided here is from the Equipment Owner.</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</si>
  <si>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</si>
  <si>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</si>
  <si>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</si>
  <si>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</si>
  <si>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</si>
  <si>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</si>
  <si>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</si>
  <si>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</si>
  <si>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length of the box, in metres. See: http://www.bclaws.ca/EPLibraries/bclaws_new/document/ID/freeside/30_7, appendix B</t>
  </si>
  <si>
    <t>The width of the box, in metres. See: http://www.bclaws.ca/EPLibraries/bclaws_new/document/ID/freeside/30_7, appendix B</t>
  </si>
  <si>
    <t>The height of the box, in metres. See: http://www.bclaws.ca/EPLibraries/bclaws_new/document/ID/freeside/30_7, appendix B</t>
  </si>
  <si>
    <t>The capacity of the box.</t>
  </si>
  <si>
    <t>The length of the trailer box, in metres. See: http://www.bclaws.ca/EPLibraries/bclaws_new/document/ID/freeside/30_7, appendix B</t>
  </si>
  <si>
    <t>The width of the trailer box, in metres. See: http://www.bclaws.ca/EPLibraries/bclaws_new/document/ID/freeside/30_7, appendix B</t>
  </si>
  <si>
    <t>The height of the trailer box, in metres. See: http://www.bclaws.ca/EPLibraries/bclaws_new/document/ID/freeside/30_7, appendix B</t>
  </si>
  <si>
    <t>The capacity of the trailer box.</t>
  </si>
  <si>
    <t>A list of Equipment Attachments for pieces of equipment that have them. In the BC Bid system, attachments are free form, but in this model will try to have a predefined attachments type list.</t>
  </si>
  <si>
    <t>TO BE REMOVED - likely not needed. Will talk to business.</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</si>
  <si>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</si>
  <si>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</si>
  <si>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</si>
  <si>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</si>
  <si>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</si>
  <si>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</si>
  <si>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</si>
  <si>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</si>
  <si>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</si>
  <si>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</si>
  <si>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CHECK WITH BUSINESS - IS THIS NEEDED</t>
  </si>
  <si>
    <t>The number of blocks defined for this equipment type. Currently, either 2 for Dump Truck equipment and 1 for non-Dump Truck equipment. Unlikely to change, particularly without a significant impact on code.</t>
  </si>
  <si>
    <t>A system-wide list of Equipment Attachment Types. Each Attachment connected to a piece of equipment needs a defined and selected attachment type.</t>
  </si>
  <si>
    <t>CHECK WITH BUSINESS - IS THIS NEEDED - A unique but human-friendly code for the Equipment Attachment Type that can be displayed on screens with little screen real estate available.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</si>
  <si>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</si>
  <si>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</si>
  <si>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effective starting date that these the Seniority data in this record went into effect.</t>
  </si>
  <si>
    <t>The name of the owner from the Owner Record, captured at the time this record was created.</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</si>
  <si>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</si>
  <si>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</si>
  <si>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TO BE REMOVED - Sum of Hours in time cards from the current fiscal year.</t>
  </si>
  <si>
    <t>TO BE REMOVED - Not sure why this would be needed</t>
  </si>
  <si>
    <t>TO BE REMOVED - not to be supported in new version of HETS</t>
  </si>
  <si>
    <t>The block number for the piece of equipment as calculated by the Seniority Algorthm for this equipment type in the local area. As currently defined by the business - 1, 2 or Open</t>
  </si>
  <si>
    <t>The list of Owners of equipment.</t>
  </si>
  <si>
    <t>ownerCodePrefix</t>
  </si>
  <si>
    <t>A unique prefix in the system that is used to generate the human-friendly IDs of the equipment. E.g. An owner Edwards might have a prefix "EDW" and their equipment numbered sequentially with that prefix - e.g. EDW-0082.</t>
  </si>
  <si>
    <t>The first name of the owner.</t>
  </si>
  <si>
    <t>The last name of the owner.</t>
  </si>
  <si>
    <t>isMaintenanceContractor</t>
  </si>
  <si>
    <t>True if the owner is contracted by MOTI to handle Maintenance activities in the area - e.g. provided services in address unscheduled issues on the roads in the area.</t>
  </si>
  <si>
    <t>TO BE REMOVED - replaced with Notes</t>
  </si>
  <si>
    <t>TO BE REMOVED - not maintained by HETS Clerks</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</si>
  <si>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</si>
  <si>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</si>
  <si>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</si>
  <si>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coded reason for why an owner record has been moved to Archived.</t>
  </si>
  <si>
    <t>A text note about why the owner record has been changed to Archived.</t>
  </si>
  <si>
    <t>A table of contacts related to various entities in the system. FK fields are used to link contacts to records in the system.</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</si>
  <si>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</si>
  <si>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</si>
  <si>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</si>
  <si>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SB Owner contact phone information</t>
  </si>
  <si>
    <t>A system-generated unique identifier for a ContactPhone</t>
  </si>
  <si>
    <t>The type of the phone number. UI controlled as to whether it is free form or selected from an enumerated list.  Ex. Home, Cell, Work etc..</t>
  </si>
  <si>
    <t>SB Owner contact address information</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</si>
  <si>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</si>
  <si>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</si>
  <si>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</si>
  <si>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</si>
  <si>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</si>
  <si>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</si>
  <si>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A system-generated unique identifier for an Attachment</t>
  </si>
  <si>
    <t>The history of updates made to an entity - e.g. a School Bus or a School Bus Owner</t>
  </si>
  <si>
    <t>A system-generated unique identifier for a History</t>
  </si>
  <si>
    <t>A system-generated unique identifier for a UserFavourite</t>
  </si>
  <si>
    <t>The MOTI-defined Regions - must match the official MOTI List</t>
  </si>
  <si>
    <t>A system-generated unique identifier for a Region</t>
  </si>
  <si>
    <t>The effective date of the Region record - NOT CURRENTLY ENFORCED IN SCHOOL BUS</t>
  </si>
  <si>
    <t>The end date of the Region record; null if active - NOT CURRENTLY ENFORCED IN SCHOOL BUS</t>
  </si>
  <si>
    <t>The MOTI-defined Districts - must match the official MOTI List</t>
  </si>
  <si>
    <t>A system-generated unique identifier for a District</t>
  </si>
  <si>
    <t>The effective date of the District record - NOT CURRENTLY ENFORCED IN SCHOOL BUS</t>
  </si>
  <si>
    <t>The end date of the District record; null if active - NOT CURRENTLY ENFORCED IN SCHOOL BUS</t>
  </si>
  <si>
    <t>The MOTI-defined Service Areas - must match the official MOTI List</t>
  </si>
  <si>
    <t>A system-generated unique identifier for a ServiceArea</t>
  </si>
  <si>
    <t>The effective date of the Service Area record - NOT CURRENTLY ENFORCED IN SCHOOL BUS</t>
  </si>
  <si>
    <t>The end date of the Service Area record; null if active - NOT CURRENTLY ENFORCED IN SCHOOL BUS</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</si>
  <si>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</si>
  <si>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</si>
  <si>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</si>
  <si>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</si>
  <si>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</si>
  <si>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</si>
  <si>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</si>
  <si>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</si>
  <si>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</si>
  <si>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</si>
  <si>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</si>
  <si>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</si>
  <si>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</si>
  <si>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</si>
  <si>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</si>
  <si>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</si>
  <si>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</si>
  <si>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The collection of permissions included in a role.</t>
  </si>
  <si>
    <t>A system-generated unique identifier for a RolePermission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</si>
  <si>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</si>
  <si>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</si>
  <si>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</si>
  <si>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</si>
  <si>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</si>
  <si>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</si>
  <si>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</si>
  <si>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</si>
  <si>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</si>
  <si>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</si>
  <si>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</si>
  <si>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</si>
  <si>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</si>
  <si>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</si>
  <si>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</si>
  <si>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</si>
  <si>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</si>
  <si>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service Area for which this project has requested hired equipment.</t>
  </si>
  <si>
    <t>The Date-Time the HETS clerk contacted the equipment owner and asked to hire the piece of equipment.</t>
  </si>
  <si>
    <t>The date-time the time record information was entered.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</si>
</sst>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2" fillId="0" borderId="0"/>
  </cellStyleXfs>
  <cellXfs count="74">
    <xf numFmtId="0" fontId="0" fillId="0" borderId="0" xfId="0"/>
    <xf numFmtId="0" fontId="26" fillId="0" borderId="0" xfId="719" applyFont="1" applyAlignment="1">
      <alignment vertical="top"/>
    </xf>
    <xf numFmtId="0" fontId="26" fillId="0" borderId="0" xfId="719" applyFont="1" applyAlignment="1">
      <alignment vertical="top" wrapText="1"/>
    </xf>
    <xf numFmtId="0" fontId="22" fillId="0" borderId="0" xfId="719"/>
    <xf numFmtId="0" fontId="22" fillId="0" borderId="0" xfId="719" applyNumberFormat="1" applyAlignment="1">
      <alignment vertical="top"/>
    </xf>
    <xf numFmtId="0" fontId="22" fillId="0" borderId="0" xfId="719" applyAlignment="1">
      <alignment vertical="top"/>
    </xf>
    <xf numFmtId="0" fontId="22" fillId="0" borderId="0" xfId="719" applyAlignment="1">
      <alignment vertical="top" wrapText="1"/>
    </xf>
    <xf numFmtId="0" fontId="25" fillId="0" borderId="0" xfId="0" applyFont="1"/>
    <xf numFmtId="0" fontId="21" fillId="0" borderId="0" xfId="719" applyFont="1"/>
    <xf numFmtId="0" fontId="0" fillId="0" borderId="0" xfId="0" applyAlignment="1">
      <alignment vertical="top"/>
    </xf>
    <xf numFmtId="0" fontId="26" fillId="0" borderId="0" xfId="0" applyFont="1" applyAlignment="1">
      <alignment vertical="top"/>
    </xf>
    <xf numFmtId="0" fontId="20" fillId="0" borderId="0" xfId="719" applyFont="1"/>
    <xf numFmtId="0" fontId="20" fillId="0" borderId="0" xfId="719" applyFont="1" applyAlignment="1">
      <alignment vertical="top"/>
    </xf>
    <xf numFmtId="0" fontId="22" fillId="0" borderId="0" xfId="719" applyFill="1" applyAlignment="1">
      <alignment vertical="top" wrapText="1"/>
    </xf>
    <xf numFmtId="0" fontId="22" fillId="0" borderId="0" xfId="719" applyNumberFormat="1" applyFill="1"/>
    <xf numFmtId="0" fontId="0" fillId="0" borderId="0" xfId="0" applyNumberFormat="1" applyAlignment="1">
      <alignment vertical="top"/>
    </xf>
    <xf numFmtId="0" fontId="19" fillId="0" borderId="0" xfId="719" applyFont="1"/>
    <xf numFmtId="0" fontId="19" fillId="0" borderId="0" xfId="719" applyFont="1" applyFill="1"/>
    <xf numFmtId="0" fontId="18" fillId="0" borderId="0" xfId="719" applyFont="1"/>
    <xf numFmtId="0" fontId="22" fillId="0" borderId="0" xfId="719" applyFill="1"/>
    <xf numFmtId="0" fontId="22" fillId="0" borderId="0" xfId="719" applyNumberFormat="1" applyFill="1" applyAlignment="1">
      <alignment vertical="top"/>
    </xf>
    <xf numFmtId="0" fontId="17" fillId="0" borderId="0" xfId="719" applyFont="1" applyFill="1" applyAlignment="1">
      <alignment vertical="top"/>
    </xf>
    <xf numFmtId="0" fontId="17" fillId="0" borderId="0" xfId="719" applyFont="1"/>
    <xf numFmtId="0" fontId="16" fillId="0" borderId="0" xfId="719" applyFont="1"/>
    <xf numFmtId="0" fontId="16" fillId="0" borderId="0" xfId="719" applyFont="1" applyFill="1" applyAlignment="1">
      <alignment vertical="top"/>
    </xf>
    <xf numFmtId="0" fontId="16" fillId="0" borderId="0" xfId="719" applyFont="1" applyFill="1" applyAlignment="1">
      <alignment vertical="top" wrapText="1"/>
    </xf>
    <xf numFmtId="0" fontId="15" fillId="0" borderId="0" xfId="719" applyFont="1" applyFill="1" applyAlignment="1">
      <alignment vertical="top"/>
    </xf>
    <xf numFmtId="0" fontId="14" fillId="0" borderId="0" xfId="719" applyFont="1" applyFill="1" applyAlignment="1">
      <alignment vertical="top"/>
    </xf>
    <xf numFmtId="0" fontId="14" fillId="0" borderId="0" xfId="719" applyFont="1" applyFill="1" applyAlignment="1">
      <alignment vertical="top" wrapText="1"/>
    </xf>
    <xf numFmtId="0" fontId="14" fillId="0" borderId="0" xfId="719" applyNumberFormat="1" applyFont="1" applyFill="1" applyAlignment="1">
      <alignment vertical="top"/>
    </xf>
    <xf numFmtId="0" fontId="14" fillId="0" borderId="0" xfId="719" applyFont="1"/>
    <xf numFmtId="0" fontId="14" fillId="0" borderId="0" xfId="719" applyFont="1" applyAlignment="1"/>
    <xf numFmtId="0" fontId="13" fillId="0" borderId="0" xfId="719" applyFont="1" applyFill="1" applyAlignment="1">
      <alignment vertical="top"/>
    </xf>
    <xf numFmtId="0" fontId="13" fillId="0" borderId="0" xfId="719" applyFont="1" applyFill="1" applyAlignment="1">
      <alignment vertical="top" wrapText="1"/>
    </xf>
    <xf numFmtId="0" fontId="13" fillId="0" borderId="0" xfId="719" applyFont="1"/>
    <xf numFmtId="0" fontId="12" fillId="0" borderId="0" xfId="719" applyFont="1" applyFill="1" applyAlignment="1">
      <alignment vertical="top"/>
    </xf>
    <xf numFmtId="0" fontId="12" fillId="0" borderId="0" xfId="719" applyFont="1" applyAlignment="1">
      <alignment vertical="top"/>
    </xf>
    <xf numFmtId="0" fontId="12" fillId="0" borderId="0" xfId="719" applyFont="1" applyFill="1"/>
    <xf numFmtId="0" fontId="12" fillId="0" borderId="0" xfId="719" applyFont="1"/>
    <xf numFmtId="0" fontId="11" fillId="0" borderId="0" xfId="719" applyFont="1" applyFill="1" applyAlignment="1">
      <alignment vertical="top"/>
    </xf>
    <xf numFmtId="0" fontId="11" fillId="0" borderId="0" xfId="719" applyFont="1" applyAlignment="1">
      <alignment horizontal="fill"/>
    </xf>
    <xf numFmtId="0" fontId="9" fillId="0" borderId="0" xfId="719" applyFont="1"/>
    <xf numFmtId="0" fontId="22" fillId="0" borderId="0" xfId="719" applyAlignment="1"/>
    <xf numFmtId="0" fontId="26" fillId="0" borderId="0" xfId="0" applyFont="1"/>
    <xf numFmtId="0" fontId="9" fillId="0" borderId="0" xfId="719" applyFont="1" applyAlignment="1">
      <alignment horizontal="fill"/>
    </xf>
    <xf numFmtId="0" fontId="8" fillId="0" borderId="0" xfId="719" applyFont="1" applyAlignment="1">
      <alignment vertical="top"/>
    </xf>
    <xf numFmtId="0" fontId="8" fillId="0" borderId="0" xfId="719" applyFont="1" applyFill="1"/>
    <xf numFmtId="0" fontId="8" fillId="0" borderId="0" xfId="719" applyNumberFormat="1" applyFont="1" applyAlignment="1">
      <alignment vertical="top"/>
    </xf>
    <xf numFmtId="0" fontId="7" fillId="0" borderId="0" xfId="719" applyFont="1"/>
    <xf numFmtId="0" fontId="6" fillId="0" borderId="0" xfId="719" applyFont="1" applyAlignment="1">
      <alignment vertical="top"/>
    </xf>
    <xf numFmtId="0" fontId="6" fillId="0" borderId="0" xfId="719" applyNumberFormat="1" applyFont="1" applyAlignment="1">
      <alignment vertical="top"/>
    </xf>
    <xf numFmtId="0" fontId="6" fillId="0" borderId="0" xfId="719" applyFont="1" applyFill="1"/>
    <xf numFmtId="0" fontId="5" fillId="0" borderId="0" xfId="719" applyFont="1"/>
    <xf numFmtId="0" fontId="5" fillId="0" borderId="0" xfId="719" applyFont="1" applyAlignment="1">
      <alignment vertical="top"/>
    </xf>
    <xf numFmtId="0" fontId="0" fillId="0" borderId="0" xfId="0" applyNumberFormat="1"/>
    <xf numFmtId="0" fontId="5" fillId="0" borderId="0" xfId="719" applyFont="1" applyFill="1" applyAlignment="1">
      <alignment vertical="top"/>
    </xf>
    <xf numFmtId="0" fontId="5" fillId="0" borderId="0" xfId="719" applyFont="1" applyFill="1" applyAlignment="1">
      <alignment vertical="top" wrapText="1"/>
    </xf>
    <xf numFmtId="0" fontId="4" fillId="0" borderId="0" xfId="719" applyFont="1"/>
    <xf numFmtId="0" fontId="4" fillId="0" borderId="0" xfId="719" applyFont="1" applyFill="1" applyAlignment="1">
      <alignment vertical="top"/>
    </xf>
    <xf numFmtId="0" fontId="4" fillId="0" borderId="0" xfId="719" applyFont="1" applyAlignment="1"/>
    <xf numFmtId="0" fontId="22" fillId="0" borderId="0" xfId="719" applyFill="1" applyAlignment="1">
      <alignment vertical="top"/>
    </xf>
    <xf numFmtId="0" fontId="16" fillId="0" borderId="0" xfId="719" applyFont="1" applyAlignment="1"/>
    <xf numFmtId="0" fontId="17" fillId="0" borderId="0" xfId="719" applyFont="1" applyAlignment="1"/>
    <xf numFmtId="0" fontId="10" fillId="0" borderId="0" xfId="719" applyFont="1" applyAlignment="1"/>
    <xf numFmtId="0" fontId="18" fillId="0" borderId="0" xfId="719" applyFont="1" applyAlignment="1"/>
    <xf numFmtId="0" fontId="4" fillId="0" borderId="0" xfId="719" applyFont="1" applyAlignment="1">
      <alignment horizontal="fill"/>
    </xf>
    <xf numFmtId="0" fontId="3" fillId="0" borderId="0" xfId="719" applyFont="1" applyAlignment="1"/>
    <xf numFmtId="0" fontId="3" fillId="0" borderId="0" xfId="719" applyFont="1"/>
    <xf numFmtId="0" fontId="3" fillId="0" borderId="0" xfId="719" applyFont="1" applyFill="1" applyAlignment="1">
      <alignment vertical="top"/>
    </xf>
    <xf numFmtId="0" fontId="2" fillId="0" borderId="0" xfId="719" applyFont="1" applyAlignment="1"/>
    <xf numFmtId="0" fontId="2" fillId="0" borderId="0" xfId="719" applyFont="1"/>
    <xf numFmtId="0" fontId="2" fillId="0" borderId="0" xfId="719" applyNumberFormat="1" applyFont="1" applyAlignment="1">
      <alignment vertical="top"/>
    </xf>
    <xf numFmtId="0" fontId="1" fillId="0" borderId="0" xfId="719" applyFont="1" applyAlignment="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8" totalsRowShown="0" headerRowDxfId="46" dataDxfId="45">
  <autoFilter ref="A1:Y33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33" totalsRowShown="0" headerRowDxfId="20" dataDxfId="19">
  <autoFilter ref="A1:T33"/>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8"/>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33.19921875" style="5"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99</v>
      </c>
      <c r="B1" s="1" t="s">
        <v>100</v>
      </c>
      <c r="C1" s="1" t="s">
        <v>101</v>
      </c>
      <c r="D1" s="1" t="s">
        <v>102</v>
      </c>
      <c r="E1" s="1" t="s">
        <v>98</v>
      </c>
      <c r="F1" s="2" t="s">
        <v>103</v>
      </c>
      <c r="G1" s="1" t="s">
        <v>77</v>
      </c>
      <c r="H1" s="1" t="s">
        <v>524</v>
      </c>
      <c r="I1" s="7" t="s">
        <v>75</v>
      </c>
      <c r="J1" s="43" t="s">
        <v>9</v>
      </c>
      <c r="K1" s="43" t="s">
        <v>208</v>
      </c>
      <c r="L1" s="10" t="s">
        <v>12</v>
      </c>
      <c r="M1" s="10" t="s">
        <v>6</v>
      </c>
      <c r="N1" s="10" t="s">
        <v>13</v>
      </c>
      <c r="O1" s="10" t="s">
        <v>119</v>
      </c>
      <c r="P1" s="10" t="s">
        <v>19</v>
      </c>
      <c r="Q1" s="10" t="s">
        <v>8</v>
      </c>
      <c r="R1" s="10" t="s">
        <v>7</v>
      </c>
      <c r="S1" s="10" t="s">
        <v>4</v>
      </c>
      <c r="T1" s="10" t="s">
        <v>2</v>
      </c>
      <c r="U1" s="10" t="s">
        <v>3</v>
      </c>
      <c r="V1" s="10" t="s">
        <v>1</v>
      </c>
      <c r="W1" s="10" t="s">
        <v>104</v>
      </c>
      <c r="X1" s="10" t="s">
        <v>76</v>
      </c>
      <c r="Y1" s="10" t="s">
        <v>525</v>
      </c>
    </row>
    <row r="2" spans="1:25" x14ac:dyDescent="0.3">
      <c r="A2" s="3" t="s">
        <v>163</v>
      </c>
      <c r="B2" s="3" t="s">
        <v>4</v>
      </c>
      <c r="C2" s="3"/>
      <c r="D2" s="3" t="s">
        <v>163</v>
      </c>
      <c r="E2" s="59" t="s">
        <v>305</v>
      </c>
      <c r="F2" s="3" t="s">
        <v>5</v>
      </c>
      <c r="G2" s="4"/>
      <c r="H2" s="4"/>
      <c r="I2" s="4" t="str">
        <f t="shared" ref="I2:I17"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163</v>
      </c>
      <c r="B3" s="3" t="s">
        <v>6</v>
      </c>
      <c r="C3" s="3"/>
      <c r="D3" s="3" t="s">
        <v>6</v>
      </c>
      <c r="E3" s="42" t="s">
        <v>317</v>
      </c>
      <c r="F3" s="3" t="s">
        <v>5</v>
      </c>
      <c r="G3" s="4" t="s">
        <v>70</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163</v>
      </c>
      <c r="B4" s="3" t="s">
        <v>8</v>
      </c>
      <c r="C4" s="3"/>
      <c r="D4" s="30" t="s">
        <v>200</v>
      </c>
      <c r="E4" s="72" t="s">
        <v>526</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for which this project has requested hired equipment.</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x14ac:dyDescent="0.3">
      <c r="A5" s="3" t="s">
        <v>163</v>
      </c>
      <c r="B5" s="3" t="s">
        <v>7</v>
      </c>
      <c r="C5" s="3">
        <v>255</v>
      </c>
      <c r="D5" s="57" t="s">
        <v>310</v>
      </c>
      <c r="E5" s="59" t="s">
        <v>311</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255</v>
      </c>
      <c r="U5" s="4" t="str">
        <f>IF(LEN(Table2[[#This Row],[!Name]]) &gt; 0, Table2[[#This Row],[!Name]], "rg:None")</f>
        <v>provincialProjectNumber</v>
      </c>
      <c r="V5" s="4" t="str">
        <f>IF(LEN(Table2[[#This Row],[!Description]]) &gt; 0, Table2[[#This Row],[!Description]], "rg:None")</f>
        <v>TO BE VERIFIED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3" t="s">
        <v>163</v>
      </c>
      <c r="B6" s="3" t="s">
        <v>7</v>
      </c>
      <c r="C6" s="3">
        <v>2048</v>
      </c>
      <c r="D6" s="57" t="s">
        <v>14</v>
      </c>
      <c r="E6" s="59" t="s">
        <v>306</v>
      </c>
      <c r="F6" s="3" t="s">
        <v>5</v>
      </c>
      <c r="G6" s="4"/>
      <c r="H6" s="4"/>
      <c r="I6" s="4" t="str">
        <f t="shared" si="0"/>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2048</v>
      </c>
      <c r="U6" s="4" t="str">
        <f>IF(LEN(Table2[[#This Row],[!Name]]) &gt; 0, Table2[[#This Row],[!Name]], "rg:None")</f>
        <v>description</v>
      </c>
      <c r="V6" s="4" t="str">
        <f>IF(LEN(Table2[[#This Row],[!Description]]) &gt; 0, Table2[[#This Row],[!Description]], "rg:None")</f>
        <v>A description entered by the HETS Clerk creating the Project record about the project. The description may contain other metadata about the project needed to process the requests related to the project.</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x14ac:dyDescent="0.3">
      <c r="A7" s="3" t="s">
        <v>163</v>
      </c>
      <c r="B7" s="27" t="s">
        <v>19</v>
      </c>
      <c r="C7" s="19"/>
      <c r="D7" s="27" t="s">
        <v>257</v>
      </c>
      <c r="E7" s="60"/>
      <c r="F7" s="28" t="s">
        <v>256</v>
      </c>
      <c r="G7" s="20"/>
      <c r="H7" s="20"/>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links</v>
      </c>
      <c r="Q7" s="4" t="str">
        <f>IF(Table2[[#This Row],[!Type]]=Q$1, Q$1,"rg:None")</f>
        <v>rg:None</v>
      </c>
      <c r="R7" s="4" t="str">
        <f>IF(Table2[[#This Row],[!Type]]=R$1, R$1,"rg:None")</f>
        <v>rg:None</v>
      </c>
      <c r="S7" s="4" t="str">
        <f>IF(Table2[[#This Row],[!Type]]=S$1, S$1,"rg:None")</f>
        <v>rg:None</v>
      </c>
      <c r="T7" s="4" t="str">
        <f>IF(LEN(Table2[[#This Row],[!Length]]) &gt; 0, Table2[[#This Row],[!Length]], "rg:None")</f>
        <v>rg:None</v>
      </c>
      <c r="U7" s="4" t="str">
        <f>IF(LEN(Table2[[#This Row],[!Name]]) &gt; 0, Table2[[#This Row],[!Name]], "rg:None")</f>
        <v>requests</v>
      </c>
      <c r="V7" s="4" t="str">
        <f>IF(LEN(Table2[[#This Row],[!Description]]) &gt; 0, Table2[[#This Row],[!Description]], "rg:None")</f>
        <v>rg:None</v>
      </c>
      <c r="W7" s="4" t="str">
        <f>IF(LEN(Table2[[#This Row],[!FK]])&gt;0,Table2[[#This Row],[!FK]],"rg:None")</f>
        <v>Request</v>
      </c>
      <c r="X7" s="15" t="str">
        <f>IF(LEN(concatif2(A:A,Table2[[#This Row],[!Table]],G:G,"Y",D:D,",")) &gt; 0,"rg:[ { 'req' : '"&amp;concatif2(A:A,Table2[[#This Row],[!Table]],G:G,"Y",D:D,"' }, { 'req': '")&amp;"'} ]","rg:[]")</f>
        <v>rg:[ { 'req' : 'id'} ]</v>
      </c>
      <c r="Y7" s="4" t="str">
        <f>IF(LEN(Table2[[#This Row],[!Unique]])&gt;0,"rg:True","rg:None")</f>
        <v>rg:None</v>
      </c>
    </row>
    <row r="8" spans="1:25" x14ac:dyDescent="0.3">
      <c r="A8" s="3" t="s">
        <v>163</v>
      </c>
      <c r="B8" s="27" t="s">
        <v>8</v>
      </c>
      <c r="C8" s="19"/>
      <c r="D8" s="27" t="s">
        <v>258</v>
      </c>
      <c r="E8" s="58" t="s">
        <v>307</v>
      </c>
      <c r="F8" s="28" t="s">
        <v>223</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primaryContact</v>
      </c>
      <c r="V8" s="4" t="str">
        <f>IF(LEN(Table2[[#This Row],[!Description]]) &gt; 0, Table2[[#This Row],[!Description]], "rg:None")</f>
        <v>Link to the designated Primary Contact for the Project - usually the Project Manager requesting to hire equipment.</v>
      </c>
      <c r="W8" s="4" t="str">
        <f>IF(LEN(Table2[[#This Row],[!FK]])&gt;0,Table2[[#This Row],[!FK]],"rg:None")</f>
        <v>Contact</v>
      </c>
      <c r="X8" s="15" t="str">
        <f>IF(LEN(concatif2(A:A,Table2[[#This Row],[!Table]],G:G,"Y",D:D,",")) &gt; 0,"rg:[ { 'req' : '"&amp;concatif2(A:A,Table2[[#This Row],[!Table]],G:G,"Y",D:D,"' }, { 'req': '")&amp;"'} ]","rg:[]")</f>
        <v>rg:[ { 'req' : 'id'} ]</v>
      </c>
      <c r="Y8" s="4" t="str">
        <f>IF(LEN(Table2[[#This Row],[!Unique]])&gt;0,"rg:True","rg:None")</f>
        <v>rg:None</v>
      </c>
    </row>
    <row r="9" spans="1:25" x14ac:dyDescent="0.3">
      <c r="A9" s="3" t="s">
        <v>163</v>
      </c>
      <c r="B9" s="27" t="s">
        <v>19</v>
      </c>
      <c r="C9" s="19"/>
      <c r="D9" s="27" t="s">
        <v>235</v>
      </c>
      <c r="E9" s="60"/>
      <c r="F9" s="28" t="s">
        <v>223</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contacts</v>
      </c>
      <c r="V9" s="4" t="str">
        <f>IF(LEN(Table2[[#This Row],[!Description]]) &gt; 0, Table2[[#This Row],[!Description]], "rg:None")</f>
        <v>rg:None</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163</v>
      </c>
      <c r="B10" s="24" t="s">
        <v>19</v>
      </c>
      <c r="C10" s="19"/>
      <c r="D10" s="24" t="s">
        <v>213</v>
      </c>
      <c r="E10" s="60"/>
      <c r="F10" s="25" t="s">
        <v>193</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notes</v>
      </c>
      <c r="V10" s="4" t="str">
        <f>IF(LEN(Table2[[#This Row],[!Description]]) &gt; 0, Table2[[#This Row],[!Description]], "rg:None")</f>
        <v>rg:None</v>
      </c>
      <c r="W10" s="4" t="str">
        <f>IF(LEN(Table2[[#This Row],[!FK]])&gt;0,Table2[[#This Row],[!FK]],"rg:None")</f>
        <v>Note</v>
      </c>
      <c r="X10" s="15" t="str">
        <f>IF(LEN(concatif2(A:A,Table2[[#This Row],[!Table]],G:G,"Y",D:D,",")) &gt; 0,"rg:[ { 'req' : '"&amp;concatif2(A:A,Table2[[#This Row],[!Table]],G:G,"Y",D:D,"' }, { 'req': '")&amp;"'} ]","rg:[]")</f>
        <v>rg:[ { 'req' : 'id'} ]</v>
      </c>
      <c r="Y10" s="4" t="str">
        <f>IF(LEN(Table2[[#This Row],[!Unique]])&gt;0,"rg:True","rg:None")</f>
        <v>rg:None</v>
      </c>
    </row>
    <row r="11" spans="1:25" x14ac:dyDescent="0.3">
      <c r="A11" s="3" t="s">
        <v>163</v>
      </c>
      <c r="B11" s="24" t="s">
        <v>19</v>
      </c>
      <c r="C11" s="19"/>
      <c r="D11" s="24" t="s">
        <v>234</v>
      </c>
      <c r="E11" s="60"/>
      <c r="F11" s="22" t="s">
        <v>207</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attachments</v>
      </c>
      <c r="V11" s="4" t="str">
        <f>IF(LEN(Table2[[#This Row],[!Description]]) &gt; 0, Table2[[#This Row],[!Description]], "rg:None")</f>
        <v>rg:None</v>
      </c>
      <c r="W11" s="4" t="str">
        <f>IF(LEN(Table2[[#This Row],[!FK]])&gt;0,Table2[[#This Row],[!FK]],"rg:None")</f>
        <v>Attachment</v>
      </c>
      <c r="X11" s="15" t="str">
        <f>IF(LEN(concatif2(A:A,Table2[[#This Row],[!Table]],G:G,"Y",D:D,",")) &gt; 0,"rg:[ { 'req' : '"&amp;concatif2(A:A,Table2[[#This Row],[!Table]],G:G,"Y",D:D,"' }, { 'req': '")&amp;"'} ]","rg:[]")</f>
        <v>rg:[ { 'req' : 'id'} ]</v>
      </c>
      <c r="Y11" s="4" t="str">
        <f>IF(LEN(Table2[[#This Row],[!Unique]])&gt;0,"rg:True","rg:None")</f>
        <v>rg:None</v>
      </c>
    </row>
    <row r="12" spans="1:25" x14ac:dyDescent="0.3">
      <c r="A12" s="3" t="s">
        <v>163</v>
      </c>
      <c r="B12" s="24" t="s">
        <v>19</v>
      </c>
      <c r="C12" s="19"/>
      <c r="D12" s="24" t="s">
        <v>236</v>
      </c>
      <c r="E12" s="60"/>
      <c r="F12" s="23" t="s">
        <v>209</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history</v>
      </c>
      <c r="V12" s="4" t="str">
        <f>IF(LEN(Table2[[#This Row],[!Description]]) &gt; 0, Table2[[#This Row],[!Description]], "rg:None")</f>
        <v>rg:None</v>
      </c>
      <c r="W12" s="4" t="str">
        <f>IF(LEN(Table2[[#This Row],[!FK]])&gt;0,Table2[[#This Row],[!FK]],"rg:None")</f>
        <v>History</v>
      </c>
      <c r="X12" s="15" t="str">
        <f>IF(LEN(concatif2(A:A,Table2[[#This Row],[!Table]],G:G,"Y",D:D,",")) &gt; 0,"rg:[ { 'req' : '"&amp;concatif2(A:A,Table2[[#This Row],[!Table]],G:G,"Y",D:D,"' }, { 'req': '")&amp;"'} ]","rg:[]")</f>
        <v>rg:[ { 'req' : 'id'} ]</v>
      </c>
      <c r="Y12" s="4" t="str">
        <f>IF(LEN(Table2[[#This Row],[!Unique]])&gt;0,"rg:True","rg:None")</f>
        <v>rg:None</v>
      </c>
    </row>
    <row r="13" spans="1:25" x14ac:dyDescent="0.3">
      <c r="A13" s="26" t="s">
        <v>256</v>
      </c>
      <c r="B13" s="3" t="s">
        <v>4</v>
      </c>
      <c r="C13" s="3"/>
      <c r="D13" s="26" t="s">
        <v>256</v>
      </c>
      <c r="E13" s="58" t="s">
        <v>308</v>
      </c>
      <c r="F13" s="13"/>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rg:None</v>
      </c>
      <c r="Q13" s="4" t="str">
        <f>IF(Table2[[#This Row],[!Type]]=Q$1, Q$1,"rg:None")</f>
        <v>rg:None</v>
      </c>
      <c r="R13" s="4" t="str">
        <f>IF(Table2[[#This Row],[!Type]]=R$1, R$1,"rg:None")</f>
        <v>rg:None</v>
      </c>
      <c r="S13" s="4" t="str">
        <f>IF(Table2[[#This Row],[!Type]]=S$1, S$1,"rg:None")</f>
        <v>table</v>
      </c>
      <c r="T13" s="4" t="str">
        <f>IF(LEN(Table2[[#This Row],[!Length]]) &gt; 0, Table2[[#This Row],[!Length]], "rg:None")</f>
        <v>rg:None</v>
      </c>
      <c r="U13" s="4" t="str">
        <f>IF(LEN(Table2[[#This Row],[!Name]]) &gt; 0, Table2[[#This Row],[!Name]], "rg:None")</f>
        <v>Request</v>
      </c>
      <c r="V13" s="4" t="str">
        <f>IF(LEN(Table2[[#This Row],[!Description]]) &gt; 0, Table2[[#This Row],[!Description]], "rg:None")</f>
        <v>A collection of requests for equipment to be hired for Provincial Projects. Each request is for one or more instances of a single type of equipment from a single local area.</v>
      </c>
      <c r="W13" s="4" t="str">
        <f>IF(LEN(Table2[[#This Row],[!FK]])&gt;0,Table2[[#This Row],[!FK]],"rg:None")</f>
        <v>rg:None</v>
      </c>
      <c r="X13" s="15" t="str">
        <f>IF(LEN(concatif2(A:A,Table2[[#This Row],[!Table]],G:G,"Y",D:D,",")) &gt; 0,"rg:[ { 'req' : '"&amp;concatif2(A:A,Table2[[#This Row],[!Table]],G:G,"Y",D:D,"' }, { 'req': '")&amp;"'} ]","rg:[]")</f>
        <v>rg:[ { 'req' : 'id'} ]</v>
      </c>
      <c r="Y13" s="4" t="str">
        <f>IF(LEN(Table2[[#This Row],[!Unique]])&gt;0,"rg:True","rg:None")</f>
        <v>rg:None</v>
      </c>
    </row>
    <row r="14" spans="1:25" x14ac:dyDescent="0.3">
      <c r="A14" s="26" t="s">
        <v>256</v>
      </c>
      <c r="B14" s="27" t="s">
        <v>6</v>
      </c>
      <c r="C14" s="19"/>
      <c r="D14" s="27" t="s">
        <v>6</v>
      </c>
      <c r="E14" s="42" t="s">
        <v>316</v>
      </c>
      <c r="F14" s="13"/>
      <c r="G14" s="29" t="s">
        <v>70</v>
      </c>
      <c r="H14" s="29"/>
      <c r="I14" s="4" t="str">
        <f t="shared" si="0"/>
        <v>Defs</v>
      </c>
      <c r="J14" s="4" t="str">
        <f>IF(Table2[[#This Row],[!Type]]=J$1, J$1,"rg:None")</f>
        <v>rg:None</v>
      </c>
      <c r="K14" s="4" t="str">
        <f>IF(Table2[[#This Row],[!Type]]=K$1, K$1,"rg:None")</f>
        <v>rg:None</v>
      </c>
      <c r="L14" s="4" t="str">
        <f>IF(Table2[[#This Row],[!Type]]=L$1, L$1,"rg:None")</f>
        <v>rg:None</v>
      </c>
      <c r="M14" s="4" t="str">
        <f>IF(Table2[[#This Row],[!Type]]=M$1, M$1,"rg:None")</f>
        <v>id</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id</v>
      </c>
      <c r="V14" s="4" t="str">
        <f>IF(LEN(Table2[[#This Row],[!Description]]) &gt; 0, Table2[[#This Row],[!Description]], "rg:None")</f>
        <v>A system-generated unique identifier for a Request</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256</v>
      </c>
      <c r="B15" s="27" t="s">
        <v>8</v>
      </c>
      <c r="C15" s="19"/>
      <c r="D15" s="27" t="s">
        <v>196</v>
      </c>
      <c r="E15" s="60"/>
      <c r="F15" s="28" t="s">
        <v>163</v>
      </c>
      <c r="G15" s="20"/>
      <c r="H15" s="20"/>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ref</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project</v>
      </c>
      <c r="V15" s="4" t="str">
        <f>IF(LEN(Table2[[#This Row],[!Description]]) &gt; 0, Table2[[#This Row],[!Description]], "rg:None")</f>
        <v>rg:None</v>
      </c>
      <c r="W15" s="4" t="str">
        <f>IF(LEN(Table2[[#This Row],[!FK]])&gt;0,Table2[[#This Row],[!FK]],"rg:None")</f>
        <v>Project</v>
      </c>
      <c r="X15" s="15" t="str">
        <f>IF(LEN(concatif2(A:A,Table2[[#This Row],[!Table]],G:G,"Y",D:D,",")) &gt; 0,"rg:[ { 'req' : '"&amp;concatif2(A:A,Table2[[#This Row],[!Table]],G:G,"Y",D:D,"' }, { 'req': '")&amp;"'} ]","rg:[]")</f>
        <v>rg:[ { 'req' : 'id'} ]</v>
      </c>
      <c r="Y15" s="4" t="str">
        <f>IF(LEN(Table2[[#This Row],[!Unique]])&gt;0,"rg:True","rg:None")</f>
        <v>rg:None</v>
      </c>
    </row>
    <row r="16" spans="1:25" x14ac:dyDescent="0.3">
      <c r="A16" s="26" t="s">
        <v>256</v>
      </c>
      <c r="B16" s="32" t="s">
        <v>8</v>
      </c>
      <c r="C16" s="19"/>
      <c r="D16" s="32" t="s">
        <v>230</v>
      </c>
      <c r="E16" s="60"/>
      <c r="F16" s="33" t="s">
        <v>198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localArea</v>
      </c>
      <c r="V16" s="4" t="str">
        <f>IF(LEN(Table2[[#This Row],[!Description]]) &gt; 0, Table2[[#This Row],[!Description]], "rg:None")</f>
        <v>rg:None</v>
      </c>
      <c r="W16" s="4" t="str">
        <f>IF(LEN(Table2[[#This Row],[!FK]])&gt;0,Table2[[#This Row],[!FK]],"rg:None")</f>
        <v>LocalArea</v>
      </c>
      <c r="X16" s="15" t="str">
        <f>IF(LEN(concatif2(A:A,Table2[[#This Row],[!Table]],G:G,"Y",D:D,",")) &gt; 0,"rg:[ { 'req' : '"&amp;concatif2(A:A,Table2[[#This Row],[!Table]],G:G,"Y",D:D,"' }, { 'req': '")&amp;"'} ]","rg:[]")</f>
        <v>rg:[ { 'req' : 'id'} ]</v>
      </c>
      <c r="Y16" s="4" t="str">
        <f>IF(LEN(Table2[[#This Row],[!Unique]])&gt;0,"rg:True","rg:None")</f>
        <v>rg:None</v>
      </c>
    </row>
    <row r="17" spans="1:25" x14ac:dyDescent="0.3">
      <c r="A17" s="26" t="s">
        <v>256</v>
      </c>
      <c r="B17" s="32" t="s">
        <v>8</v>
      </c>
      <c r="C17" s="19"/>
      <c r="D17" s="23" t="s">
        <v>240</v>
      </c>
      <c r="E17" s="42"/>
      <c r="F17" s="23" t="s">
        <v>241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equipmentType</v>
      </c>
      <c r="V17" s="4" t="str">
        <f>IF(LEN(Table2[[#This Row],[!Description]]) &gt; 0, Table2[[#This Row],[!Description]], "rg:None")</f>
        <v>rg:None</v>
      </c>
      <c r="W17" s="4" t="str">
        <f>IF(LEN(Table2[[#This Row],[!FK]])&gt;0,Table2[[#This Row],[!FK]],"rg:None")</f>
        <v>EquipmentType</v>
      </c>
      <c r="X17" s="15" t="str">
        <f>IF(LEN(concatif2(A:A,Table2[[#This Row],[!Table]],G:G,"Y",D:D,",")) &gt; 0,"rg:[ { 'req' : '"&amp;concatif2(A:A,Table2[[#This Row],[!Table]],G:G,"Y",D:D,"' }, { 'req': '")&amp;"'} ]","rg:[]")</f>
        <v>rg:[ { 'req' : 'id'} ]</v>
      </c>
      <c r="Y17" s="4" t="str">
        <f>IF(LEN(Table2[[#This Row],[!Unique]])&gt;0,"rg:True","rg:None")</f>
        <v>rg:None</v>
      </c>
    </row>
    <row r="18" spans="1:25" x14ac:dyDescent="0.3">
      <c r="A18" s="26" t="s">
        <v>256</v>
      </c>
      <c r="B18" s="32" t="s">
        <v>13</v>
      </c>
      <c r="C18" s="19"/>
      <c r="D18" s="32" t="s">
        <v>260</v>
      </c>
      <c r="E18" s="58" t="s">
        <v>309</v>
      </c>
      <c r="F18" s="13"/>
      <c r="G18" s="20"/>
      <c r="H18" s="20"/>
      <c r="I18" s="4" t="str">
        <f t="shared" ref="I18:I26" si="1">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integer</v>
      </c>
      <c r="O18" s="4" t="str">
        <f>IF(Table2[[#This Row],[!Type]]=O$1, O$1,"rg:None")</f>
        <v>rg:None</v>
      </c>
      <c r="P18" s="4" t="str">
        <f>IF(Table2[[#This Row],[!Type]]=P$1, P$1,"rg:None")</f>
        <v>rg:None</v>
      </c>
      <c r="Q18" s="4" t="str">
        <f>IF(Table2[[#This Row],[!Type]]=Q$1, Q$1,"rg:None")</f>
        <v>rg:None</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equipmentCount</v>
      </c>
      <c r="V18" s="4" t="str">
        <f>IF(LEN(Table2[[#This Row],[!Description]]) &gt; 0, Table2[[#This Row],[!Description]], "rg:None")</f>
        <v>The number of pieces of the equipment type to be procured as part of this request.</v>
      </c>
      <c r="W18" s="4" t="str">
        <f>IF(LEN(Table2[[#This Row],[!FK]])&gt;0,Table2[[#This Row],[!FK]],"rg:None")</f>
        <v>rg:None</v>
      </c>
      <c r="X18" s="15" t="str">
        <f>IF(LEN(concatif2(A:A,Table2[[#This Row],[!Table]],G:G,"Y",D:D,",")) &gt; 0,"rg:[ { 'req' : '"&amp;concatif2(A:A,Table2[[#This Row],[!Table]],G:G,"Y",D:D,"' }, { 'req': '")&amp;"'} ]","rg:[]")</f>
        <v>rg:[ { 'req' : 'id'} ]</v>
      </c>
      <c r="Y18" s="4" t="str">
        <f>IF(LEN(Table2[[#This Row],[!Unique]])&gt;0,"rg:True","rg:None")</f>
        <v>rg:None</v>
      </c>
    </row>
    <row r="19" spans="1:25" x14ac:dyDescent="0.3">
      <c r="A19" s="26" t="s">
        <v>256</v>
      </c>
      <c r="B19" s="32" t="s">
        <v>13</v>
      </c>
      <c r="C19" s="19"/>
      <c r="D19" s="32" t="s">
        <v>261</v>
      </c>
      <c r="E19" s="68" t="s">
        <v>379</v>
      </c>
      <c r="F19" s="13"/>
      <c r="G19" s="20"/>
      <c r="H19" s="20"/>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expectedHours</v>
      </c>
      <c r="V19" s="4" t="str">
        <f>IF(LEN(Table2[[#This Row],[!Description]]) &gt; 0, Table2[[#This Row],[!Description]], "rg:None")</f>
        <v xml:space="preserve">The expected number of rental hours for each piece equipment hired against this request, as provided by the Project Manager making the request. </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x14ac:dyDescent="0.3">
      <c r="A20" s="26" t="s">
        <v>256</v>
      </c>
      <c r="B20" s="32" t="s">
        <v>12</v>
      </c>
      <c r="C20" s="19"/>
      <c r="D20" s="32" t="s">
        <v>262</v>
      </c>
      <c r="E20" s="68" t="s">
        <v>378</v>
      </c>
      <c r="F20" s="13"/>
      <c r="G20" s="20"/>
      <c r="H20" s="20"/>
      <c r="I20" s="4" t="str">
        <f>IF(LEN(A20) &gt; 0,"Defs","-")</f>
        <v>Defs</v>
      </c>
      <c r="J20" s="4" t="str">
        <f>IF(Table2[[#This Row],[!Type]]=J$1, J$1,"rg:None")</f>
        <v>rg:None</v>
      </c>
      <c r="K20" s="4" t="str">
        <f>IF(Table2[[#This Row],[!Type]]=K$1, K$1,"rg:None")</f>
        <v>rg:None</v>
      </c>
      <c r="L20" s="4" t="str">
        <f>IF(Table2[[#This Row],[!Type]]=L$1, L$1,"rg:None")</f>
        <v>datetime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expectedStartDate</v>
      </c>
      <c r="V20" s="4" t="str">
        <f>IF(LEN(Table2[[#This Row],[!Description]]) &gt; 0, Table2[[#This Row],[!Description]], "rg:None")</f>
        <v>The expected start date of each piece of equipment hired against this request, as provided by the Project Manager making the request.</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x14ac:dyDescent="0.3">
      <c r="A21" s="26" t="s">
        <v>256</v>
      </c>
      <c r="B21" s="32" t="s">
        <v>12</v>
      </c>
      <c r="C21" s="19"/>
      <c r="D21" s="32" t="s">
        <v>263</v>
      </c>
      <c r="E21" s="68" t="s">
        <v>377</v>
      </c>
      <c r="F21" s="13"/>
      <c r="G21" s="20"/>
      <c r="H21" s="20"/>
      <c r="I21" s="4" t="str">
        <f t="shared" si="1"/>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expectedEndDate</v>
      </c>
      <c r="V21" s="4" t="str">
        <f>IF(LEN(Table2[[#This Row],[!Description]]) &gt; 0, Table2[[#This Row],[!Description]], "rg:None")</f>
        <v>The expected end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x14ac:dyDescent="0.3">
      <c r="A22" s="26" t="s">
        <v>256</v>
      </c>
      <c r="B22" s="32" t="s">
        <v>8</v>
      </c>
      <c r="C22" s="19"/>
      <c r="D22" s="32" t="s">
        <v>267</v>
      </c>
      <c r="E22" s="60"/>
      <c r="F22" s="33" t="s">
        <v>264</v>
      </c>
      <c r="G22" s="20"/>
      <c r="H22" s="20"/>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ref</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rotationList</v>
      </c>
      <c r="V22" s="4" t="str">
        <f>IF(LEN(Table2[[#This Row],[!Description]]) &gt; 0, Table2[[#This Row],[!Description]], "rg:None")</f>
        <v>rg:None</v>
      </c>
      <c r="W22" s="4" t="str">
        <f>IF(LEN(Table2[[#This Row],[!FK]])&gt;0,Table2[[#This Row],[!FK]],"rg:None")</f>
        <v>RotationList</v>
      </c>
      <c r="X22" s="15" t="str">
        <f>IF(LEN(concatif2(A:A,Table2[[#This Row],[!Table]],G:G,"Y",D:D,",")) &gt; 0,"rg:[ { 'req' : '"&amp;concatif2(A:A,Table2[[#This Row],[!Table]],G:G,"Y",D:D,"' }, { 'req': '")&amp;"'} ]","rg:[]")</f>
        <v>rg:[ { 'req' : 'id'} ]</v>
      </c>
      <c r="Y22" s="4" t="str">
        <f>IF(LEN(Table2[[#This Row],[!Unique]])&gt;0,"rg:True","rg:None")</f>
        <v>rg:None</v>
      </c>
    </row>
    <row r="23" spans="1:25" x14ac:dyDescent="0.3">
      <c r="A23" s="26" t="s">
        <v>256</v>
      </c>
      <c r="B23" s="32" t="s">
        <v>19</v>
      </c>
      <c r="C23" s="19"/>
      <c r="D23" s="32" t="s">
        <v>274</v>
      </c>
      <c r="E23" s="60"/>
      <c r="F23" s="33" t="s">
        <v>275</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links</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hireOffers</v>
      </c>
      <c r="V23" s="4" t="str">
        <f>IF(LEN(Table2[[#This Row],[!Description]]) &gt; 0, Table2[[#This Row],[!Description]], "rg:None")</f>
        <v>rg:None</v>
      </c>
      <c r="W23" s="4" t="str">
        <f>IF(LEN(Table2[[#This Row],[!FK]])&gt;0,Table2[[#This Row],[!FK]],"rg:None")</f>
        <v>HireOffer</v>
      </c>
      <c r="X23" s="15" t="str">
        <f>IF(LEN(concatif2(A:A,Table2[[#This Row],[!Table]],G:G,"Y",D:D,",")) &gt; 0,"rg:[ { 'req' : '"&amp;concatif2(A:A,Table2[[#This Row],[!Table]],G:G,"Y",D:D,"' }, { 'req': '")&amp;"'} ]","rg:[]")</f>
        <v>rg:[ { 'req' : 'id'} ]</v>
      </c>
      <c r="Y23" s="4" t="str">
        <f>IF(LEN(Table2[[#This Row],[!Unique]])&gt;0,"rg:True","rg:None")</f>
        <v>rg:None</v>
      </c>
    </row>
    <row r="24" spans="1:25" x14ac:dyDescent="0.3">
      <c r="A24" s="26" t="s">
        <v>256</v>
      </c>
      <c r="B24" s="24" t="s">
        <v>19</v>
      </c>
      <c r="C24" s="19"/>
      <c r="D24" s="24" t="s">
        <v>213</v>
      </c>
      <c r="E24" s="60"/>
      <c r="F24" s="25" t="s">
        <v>193</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256</v>
      </c>
      <c r="B25" s="24" t="s">
        <v>19</v>
      </c>
      <c r="C25" s="19"/>
      <c r="D25" s="24" t="s">
        <v>234</v>
      </c>
      <c r="E25" s="60"/>
      <c r="F25" s="22" t="s">
        <v>207</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256</v>
      </c>
      <c r="B26" s="24" t="s">
        <v>19</v>
      </c>
      <c r="C26" s="19"/>
      <c r="D26" s="24" t="s">
        <v>236</v>
      </c>
      <c r="E26" s="60"/>
      <c r="F26" s="23" t="s">
        <v>209</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39" t="s">
        <v>264</v>
      </c>
      <c r="B27" s="3" t="s">
        <v>4</v>
      </c>
      <c r="C27" s="3"/>
      <c r="D27" s="32" t="s">
        <v>264</v>
      </c>
      <c r="E27" s="60"/>
      <c r="F27" s="13"/>
      <c r="G27" s="20"/>
      <c r="H27" s="20"/>
      <c r="I27" s="4" t="str">
        <f t="shared" ref="I27:I33" si="2">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table</v>
      </c>
      <c r="T27" s="4" t="str">
        <f>IF(LEN(Table2[[#This Row],[!Length]]) &gt; 0, Table2[[#This Row],[!Length]], "rg:None")</f>
        <v>rg:None</v>
      </c>
      <c r="U27" s="4" t="str">
        <f>IF(LEN(Table2[[#This Row],[!Name]]) &gt; 0, Table2[[#This Row],[!Name]], "rg:None")</f>
        <v>RotationList</v>
      </c>
      <c r="V27" s="4" t="str">
        <f>IF(LEN(Table2[[#This Row],[!Description]]) &gt; 0, Table2[[#This Row],[!Description]], "rg:None")</f>
        <v>rg:None</v>
      </c>
      <c r="W27" s="4" t="str">
        <f>IF(LEN(Table2[[#This Row],[!FK]])&gt;0,Table2[[#This Row],[!FK]],"rg:None")</f>
        <v>rg:None</v>
      </c>
      <c r="X27" s="15" t="str">
        <f>IF(LEN(concatif2(A:A,Table2[[#This Row],[!Table]],G:G,"Y",D:D,",")) &gt; 0,"rg:[ { 'req' : '"&amp;concatif2(A:A,Table2[[#This Row],[!Table]],G:G,"Y",D:D,"' }, { 'req': '")&amp;"'} ]","rg:[]")</f>
        <v>rg:[ { 'req' : 'id'} ]</v>
      </c>
      <c r="Y27" s="4" t="str">
        <f>IF(LEN(Table2[[#This Row],[!Unique]])&gt;0,"rg:True","rg:None")</f>
        <v>rg:None</v>
      </c>
    </row>
    <row r="28" spans="1:25" x14ac:dyDescent="0.3">
      <c r="A28" s="32" t="s">
        <v>264</v>
      </c>
      <c r="B28" s="27" t="s">
        <v>6</v>
      </c>
      <c r="C28" s="19"/>
      <c r="D28" s="27" t="s">
        <v>6</v>
      </c>
      <c r="E28" s="42" t="s">
        <v>315</v>
      </c>
      <c r="F28" s="13"/>
      <c r="G28" s="29" t="s">
        <v>70</v>
      </c>
      <c r="H28" s="29"/>
      <c r="I28" s="4" t="str">
        <f t="shared" si="2"/>
        <v>Defs</v>
      </c>
      <c r="J28" s="4" t="str">
        <f>IF(Table2[[#This Row],[!Type]]=J$1, J$1,"rg:None")</f>
        <v>rg:None</v>
      </c>
      <c r="K28" s="4" t="str">
        <f>IF(Table2[[#This Row],[!Type]]=K$1, K$1,"rg:None")</f>
        <v>rg:None</v>
      </c>
      <c r="L28" s="4" t="str">
        <f>IF(Table2[[#This Row],[!Type]]=L$1, L$1,"rg:None")</f>
        <v>rg:None</v>
      </c>
      <c r="M28" s="4" t="str">
        <f>IF(Table2[[#This Row],[!Type]]=M$1, M$1,"rg:None")</f>
        <v>id</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id</v>
      </c>
      <c r="V28" s="4" t="str">
        <f>IF(LEN(Table2[[#This Row],[!Description]]) &gt; 0, Table2[[#This Row],[!Description]], "rg:None")</f>
        <v>A system-generated unique identifier for a RotationList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32" t="s">
        <v>264</v>
      </c>
      <c r="B29" s="27" t="s">
        <v>8</v>
      </c>
      <c r="C29" s="19"/>
      <c r="D29" s="32" t="s">
        <v>230</v>
      </c>
      <c r="E29" s="60"/>
      <c r="F29" s="33" t="s">
        <v>198</v>
      </c>
      <c r="G29" s="20"/>
      <c r="H29" s="20"/>
      <c r="I29" s="4" t="str">
        <f t="shared" si="2"/>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localArea</v>
      </c>
      <c r="V29" s="4" t="str">
        <f>IF(LEN(Table2[[#This Row],[!Description]]) &gt; 0, Table2[[#This Row],[!Description]], "rg:None")</f>
        <v>rg:None</v>
      </c>
      <c r="W29" s="4" t="str">
        <f>IF(LEN(Table2[[#This Row],[!FK]])&gt;0,Table2[[#This Row],[!FK]],"rg:None")</f>
        <v>LocalArea</v>
      </c>
      <c r="X29" s="15" t="str">
        <f>IF(LEN(concatif2(A:A,Table2[[#This Row],[!Table]],G:G,"Y",D:D,",")) &gt; 0,"rg:[ { 'req' : '"&amp;concatif2(A:A,Table2[[#This Row],[!Table]],G:G,"Y",D:D,"' }, { 'req': '")&amp;"'} ]","rg:[]")</f>
        <v>rg:[ { 'req' : 'id'} ]</v>
      </c>
      <c r="Y29" s="4" t="str">
        <f>IF(LEN(Table2[[#This Row],[!Unique]])&gt;0,"rg:True","rg:None")</f>
        <v>rg:None</v>
      </c>
    </row>
    <row r="30" spans="1:25" x14ac:dyDescent="0.3">
      <c r="A30" s="32" t="s">
        <v>264</v>
      </c>
      <c r="B30" s="32" t="s">
        <v>8</v>
      </c>
      <c r="C30" s="19"/>
      <c r="D30" s="23" t="s">
        <v>240</v>
      </c>
      <c r="E30" s="42"/>
      <c r="F30" s="23" t="s">
        <v>241</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equipmentType</v>
      </c>
      <c r="V30" s="4" t="str">
        <f>IF(LEN(Table2[[#This Row],[!Description]]) &gt; 0, Table2[[#This Row],[!Description]], "rg:None")</f>
        <v>rg:None</v>
      </c>
      <c r="W30" s="4" t="str">
        <f>IF(LEN(Table2[[#This Row],[!FK]])&gt;0,Table2[[#This Row],[!FK]],"rg:None")</f>
        <v>EquipmentType</v>
      </c>
      <c r="X30" s="15" t="str">
        <f>IF(LEN(concatif2(A:A,Table2[[#This Row],[!Table]],G:G,"Y",D:D,",")) &gt; 0,"rg:[ { 'req' : '"&amp;concatif2(A:A,Table2[[#This Row],[!Table]],G:G,"Y",D:D,"' }, { 'req': '")&amp;"'} ]","rg:[]")</f>
        <v>rg:[ { 'req' : 'id'} ]</v>
      </c>
      <c r="Y30" s="4" t="str">
        <f>IF(LEN(Table2[[#This Row],[!Unique]])&gt;0,"rg:True","rg:None")</f>
        <v>rg:None</v>
      </c>
    </row>
    <row r="31" spans="1:25" x14ac:dyDescent="0.3">
      <c r="A31" s="32" t="s">
        <v>264</v>
      </c>
      <c r="B31" s="32" t="s">
        <v>19</v>
      </c>
      <c r="C31" s="19"/>
      <c r="D31" s="32" t="s">
        <v>265</v>
      </c>
      <c r="E31" s="60"/>
      <c r="F31" s="32" t="s">
        <v>266</v>
      </c>
      <c r="G31" s="20"/>
      <c r="H31" s="20"/>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blocks</v>
      </c>
      <c r="V31" s="4" t="str">
        <f>IF(LEN(Table2[[#This Row],[!Description]]) &gt; 0, Table2[[#This Row],[!Description]], "rg:None")</f>
        <v>rg:None</v>
      </c>
      <c r="W31" s="4" t="str">
        <f>IF(LEN(Table2[[#This Row],[!FK]])&gt;0,Table2[[#This Row],[!FK]],"rg:None")</f>
        <v>RotationListBlock</v>
      </c>
      <c r="X31" s="15" t="str">
        <f>IF(LEN(concatif2(A:A,Table2[[#This Row],[!Table]],G:G,"Y",D:D,",")) &gt; 0,"rg:[ { 'req' : '"&amp;concatif2(A:A,Table2[[#This Row],[!Table]],G:G,"Y",D:D,"' }, { 'req': '")&amp;"'} ]","rg:[]")</f>
        <v>rg:[ { 'req' : 'id'} ]</v>
      </c>
      <c r="Y31" s="4" t="str">
        <f>IF(LEN(Table2[[#This Row],[!Unique]])&gt;0,"rg:True","rg:None")</f>
        <v>rg:None</v>
      </c>
    </row>
    <row r="32" spans="1:25" x14ac:dyDescent="0.3">
      <c r="A32" s="32" t="s">
        <v>266</v>
      </c>
      <c r="B32" s="32" t="s">
        <v>4</v>
      </c>
      <c r="C32" s="19"/>
      <c r="D32" s="32" t="s">
        <v>266</v>
      </c>
      <c r="E32" s="60"/>
      <c r="F32" s="33"/>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RotationListBlock</v>
      </c>
      <c r="V32" s="4" t="str">
        <f>IF(LEN(Table2[[#This Row],[!Description]]) &gt; 0, Table2[[#This Row],[!Description]], "rg:None")</f>
        <v>rg:None</v>
      </c>
      <c r="W32" s="4" t="str">
        <f>IF(LEN(Table2[[#This Row],[!FK]])&gt;0,Table2[[#This Row],[!FK]],"rg:None")</f>
        <v>rg:None</v>
      </c>
      <c r="X32" s="15" t="str">
        <f>IF(LEN(concatif2(A:A,Table2[[#This Row],[!Table]],G:G,"Y",D:D,",")) &gt; 0,"rg:[ { 'req' : '"&amp;concatif2(A:A,Table2[[#This Row],[!Table]],G:G,"Y",D:D,"' }, { 'req': '")&amp;"'} ]","rg:[]")</f>
        <v>rg:[ { 'req' : 'id'} ]</v>
      </c>
      <c r="Y32" s="4" t="str">
        <f>IF(LEN(Table2[[#This Row],[!Unique]])&gt;0,"rg:True","rg:None")</f>
        <v>rg:None</v>
      </c>
    </row>
    <row r="33" spans="1:25" x14ac:dyDescent="0.3">
      <c r="A33" s="32" t="s">
        <v>266</v>
      </c>
      <c r="B33" s="27" t="s">
        <v>6</v>
      </c>
      <c r="C33" s="19"/>
      <c r="D33" s="27" t="s">
        <v>6</v>
      </c>
      <c r="E33" s="42" t="s">
        <v>314</v>
      </c>
      <c r="F33" s="13"/>
      <c r="G33" s="29" t="s">
        <v>70</v>
      </c>
      <c r="H33" s="29"/>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RotationListBlock</v>
      </c>
      <c r="W33" s="4" t="str">
        <f>IF(LEN(Table2[[#This Row],[!FK]])&gt;0,Table2[[#This Row],[!FK]],"rg:None")</f>
        <v>rg:None</v>
      </c>
      <c r="X33" s="15" t="str">
        <f>IF(LEN(concatif2(A:A,Table2[[#This Row],[!Table]],G:G,"Y",D:D,",")) &gt; 0,"rg:[ { 'req' : '"&amp;concatif2(A:A,Table2[[#This Row],[!Table]],G:G,"Y",D:D,"' }, { 'req': '")&amp;"'} ]","rg:[]")</f>
        <v>rg:[ { 'req' : 'id'} ]</v>
      </c>
      <c r="Y33" s="4" t="str">
        <f>IF(LEN(Table2[[#This Row],[!Unique]])&gt;0,"rg:True","rg:None")</f>
        <v>rg:None</v>
      </c>
    </row>
    <row r="34" spans="1:25" x14ac:dyDescent="0.3">
      <c r="A34" s="32" t="s">
        <v>266</v>
      </c>
      <c r="B34" s="32" t="s">
        <v>8</v>
      </c>
      <c r="C34" s="19"/>
      <c r="D34" s="32" t="s">
        <v>267</v>
      </c>
      <c r="E34" s="60"/>
      <c r="F34" s="33" t="s">
        <v>264</v>
      </c>
      <c r="G34" s="20"/>
      <c r="H34" s="20"/>
      <c r="I34" s="4" t="str">
        <f>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rotationList</v>
      </c>
      <c r="V34" s="4" t="str">
        <f>IF(LEN(Table2[[#This Row],[!Description]]) &gt; 0, Table2[[#This Row],[!Description]], "rg:None")</f>
        <v>rg:None</v>
      </c>
      <c r="W34" s="4" t="str">
        <f>IF(LEN(Table2[[#This Row],[!FK]])&gt;0,Table2[[#This Row],[!FK]],"rg:None")</f>
        <v>RotationList</v>
      </c>
      <c r="X34" s="15" t="str">
        <f>IF(LEN(concatif2(A:A,Table2[[#This Row],[!Table]],G:G,"Y",D:D,",")) &gt; 0,"rg:[ { 'req' : '"&amp;concatif2(A:A,Table2[[#This Row],[!Table]],G:G,"Y",D:D,"' }, { 'req': '")&amp;"'} ]","rg:[]")</f>
        <v>rg:[ { 'req' : 'id'} ]</v>
      </c>
      <c r="Y34" s="4" t="str">
        <f>IF(LEN(Table2[[#This Row],[!Unique]])&gt;0,"rg:True","rg:None")</f>
        <v>rg:None</v>
      </c>
    </row>
    <row r="35" spans="1:25" x14ac:dyDescent="0.3">
      <c r="A35" s="32" t="s">
        <v>266</v>
      </c>
      <c r="B35" s="34" t="s">
        <v>13</v>
      </c>
      <c r="C35" s="3"/>
      <c r="D35" s="3" t="s">
        <v>120</v>
      </c>
      <c r="E35" s="40" t="s">
        <v>268</v>
      </c>
      <c r="F35" s="3" t="s">
        <v>5</v>
      </c>
      <c r="G35" s="4"/>
      <c r="H35" s="4"/>
      <c r="I35" s="4" t="str">
        <f t="shared" ref="I35:I49"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blockNum</v>
      </c>
      <c r="V35" s="4" t="str">
        <f>IF(LEN(Table2[[#This Row],[!Description]]) &gt; 0, Table2[[#This Row],[!Description]], "rg:None")</f>
        <v>The block number. 1 for Primary, 2 for Secondary, 3 for Open</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x14ac:dyDescent="0.3">
      <c r="A36" s="32" t="s">
        <v>266</v>
      </c>
      <c r="B36" s="3" t="s">
        <v>119</v>
      </c>
      <c r="C36" s="3"/>
      <c r="D36" s="3" t="s">
        <v>121</v>
      </c>
      <c r="E36" s="42"/>
      <c r="F36" s="3" t="s">
        <v>5</v>
      </c>
      <c r="G36" s="4"/>
      <c r="H36" s="4"/>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float</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cycleNum</v>
      </c>
      <c r="V36" s="4" t="str">
        <f>IF(LEN(Table2[[#This Row],[!Description]]) &gt; 0, Table2[[#This Row],[!Description]], "rg:None")</f>
        <v>rg:None</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32" t="s">
        <v>266</v>
      </c>
      <c r="B37" s="3" t="s">
        <v>119</v>
      </c>
      <c r="C37" s="3"/>
      <c r="D37" s="3" t="s">
        <v>122</v>
      </c>
      <c r="E37" s="42"/>
      <c r="F37" s="3" t="s">
        <v>5</v>
      </c>
      <c r="G37" s="4"/>
      <c r="H37" s="4"/>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float</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maxCycle</v>
      </c>
      <c r="V37" s="4" t="str">
        <f>IF(LEN(Table2[[#This Row],[!Description]]) &gt; 0, Table2[[#This Row],[!Description]], "rg:None")</f>
        <v>rg:None</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32" t="s">
        <v>266</v>
      </c>
      <c r="B38" s="3" t="s">
        <v>8</v>
      </c>
      <c r="C38" s="3"/>
      <c r="D38" s="34" t="s">
        <v>273</v>
      </c>
      <c r="E38" s="42"/>
      <c r="F38" s="23" t="s">
        <v>239</v>
      </c>
      <c r="G38" s="4"/>
      <c r="H38" s="4"/>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lastHiredEquipment</v>
      </c>
      <c r="V38" s="4" t="str">
        <f>IF(LEN(Table2[[#This Row],[!Description]]) &gt; 0, Table2[[#This Row],[!Description]], "rg:None")</f>
        <v>rg:None</v>
      </c>
      <c r="W38" s="4" t="str">
        <f>IF(LEN(Table2[[#This Row],[!FK]])&gt;0,Table2[[#This Row],[!FK]],"rg:None")</f>
        <v>Equipment</v>
      </c>
      <c r="X38" s="15" t="str">
        <f>IF(LEN(concatif2(A:A,Table2[[#This Row],[!Table]],G:G,"Y",D:D,",")) &gt; 0,"rg:[ { 'req' : '"&amp;concatif2(A:A,Table2[[#This Row],[!Table]],G:G,"Y",D:D,"' }, { 'req': '")&amp;"'} ]","rg:[]")</f>
        <v>rg:[ { 'req' : 'id'} ]</v>
      </c>
      <c r="Y38" s="4" t="str">
        <f>IF(LEN(Table2[[#This Row],[!Unique]])&gt;0,"rg:True","rg:None")</f>
        <v>rg:None</v>
      </c>
    </row>
    <row r="39" spans="1:25" x14ac:dyDescent="0.3">
      <c r="A39" s="32" t="s">
        <v>266</v>
      </c>
      <c r="B39" s="3" t="s">
        <v>8</v>
      </c>
      <c r="C39" s="3"/>
      <c r="D39" s="34" t="s">
        <v>272</v>
      </c>
      <c r="E39" s="42"/>
      <c r="F39" s="23" t="s">
        <v>239</v>
      </c>
      <c r="G39" s="4"/>
      <c r="H39" s="4"/>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startCycleEquipment</v>
      </c>
      <c r="V39" s="4" t="str">
        <f>IF(LEN(Table2[[#This Row],[!Description]]) &gt; 0, Table2[[#This Row],[!Description]], "rg:None")</f>
        <v>rg:None</v>
      </c>
      <c r="W39" s="4" t="str">
        <f>IF(LEN(Table2[[#This Row],[!FK]])&gt;0,Table2[[#This Row],[!FK]],"rg:None")</f>
        <v>Equipment</v>
      </c>
      <c r="X39" s="15" t="str">
        <f>IF(LEN(concatif2(A:A,Table2[[#This Row],[!Table]],G:G,"Y",D:D,",")) &gt; 0,"rg:[ { 'req' : '"&amp;concatif2(A:A,Table2[[#This Row],[!Table]],G:G,"Y",D:D,"' }, { 'req': '")&amp;"'} ]","rg:[]")</f>
        <v>rg:[ { 'req' : 'id'} ]</v>
      </c>
      <c r="Y39" s="4" t="str">
        <f>IF(LEN(Table2[[#This Row],[!Unique]])&gt;0,"rg:True","rg:None")</f>
        <v>rg:None</v>
      </c>
    </row>
    <row r="40" spans="1:25" x14ac:dyDescent="0.3">
      <c r="A40" s="32" t="s">
        <v>266</v>
      </c>
      <c r="B40" s="3" t="s">
        <v>7</v>
      </c>
      <c r="C40" s="3">
        <v>255</v>
      </c>
      <c r="D40" s="3" t="s">
        <v>123</v>
      </c>
      <c r="E40" s="42"/>
      <c r="F40" s="3" t="s">
        <v>5</v>
      </c>
      <c r="G40" s="4"/>
      <c r="H40" s="4"/>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string</v>
      </c>
      <c r="S40" s="4" t="str">
        <f>IF(Table2[[#This Row],[!Type]]=S$1, S$1,"rg:None")</f>
        <v>rg:None</v>
      </c>
      <c r="T40" s="4">
        <f>IF(LEN(Table2[[#This Row],[!Length]]) &gt; 0, Table2[[#This Row],[!Length]], "rg:None")</f>
        <v>255</v>
      </c>
      <c r="U40" s="4" t="str">
        <f>IF(LEN(Table2[[#This Row],[!Name]]) &gt; 0, Table2[[#This Row],[!Name]], "rg:None")</f>
        <v>moved</v>
      </c>
      <c r="V40" s="4" t="str">
        <f>IF(LEN(Table2[[#This Row],[!Description]]) &gt; 0, Table2[[#This Row],[!Description]], "rg:None")</f>
        <v>rg:None</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2" t="s">
        <v>266</v>
      </c>
      <c r="B41" s="3" t="s">
        <v>7</v>
      </c>
      <c r="C41" s="3">
        <v>255</v>
      </c>
      <c r="D41" s="3" t="s">
        <v>124</v>
      </c>
      <c r="E41" s="42"/>
      <c r="F41" s="3" t="s">
        <v>5</v>
      </c>
      <c r="G41" s="4"/>
      <c r="H41" s="4"/>
      <c r="I41" s="4" t="str">
        <f t="shared" si="3"/>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f>IF(LEN(Table2[[#This Row],[!Length]]) &gt; 0, Table2[[#This Row],[!Length]], "rg:None")</f>
        <v>255</v>
      </c>
      <c r="U41" s="4" t="str">
        <f>IF(LEN(Table2[[#This Row],[!Name]]) &gt; 0, Table2[[#This Row],[!Name]], "rg:None")</f>
        <v>startWasZero</v>
      </c>
      <c r="V41" s="4" t="str">
        <f>IF(LEN(Table2[[#This Row],[!Description]]) &gt; 0, Table2[[#This Row],[!Description]], "rg:None")</f>
        <v>rg:None</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2" t="s">
        <v>266</v>
      </c>
      <c r="B42" s="3" t="s">
        <v>13</v>
      </c>
      <c r="C42" s="3"/>
      <c r="D42" s="3" t="s">
        <v>125</v>
      </c>
      <c r="E42" s="42"/>
      <c r="F42" s="3" t="s">
        <v>5</v>
      </c>
      <c r="G42" s="4"/>
      <c r="H42" s="4"/>
      <c r="I42" s="4" t="str">
        <f t="shared" si="3"/>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integer</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rotatedBlock</v>
      </c>
      <c r="V42" s="4" t="str">
        <f>IF(LEN(Table2[[#This Row],[!Description]]) &gt; 0, Table2[[#This Row],[!Description]], "rg:None")</f>
        <v>rg:None</v>
      </c>
      <c r="W42" s="4" t="str">
        <f>IF(LEN(Table2[[#This Row],[!FK]])&gt;0,Table2[[#This Row],[!FK]],"rg:None")</f>
        <v>rg:None</v>
      </c>
      <c r="X42" s="15" t="str">
        <f>IF(LEN(concatif2(A:A,Table2[[#This Row],[!Table]],G:G,"Y",D:D,",")) &gt; 0,"rg:[ { 'req' : '"&amp;concatif2(A:A,Table2[[#This Row],[!Table]],G:G,"Y",D:D,"' }, { 'req': '")&amp;"'} ]","rg:[]")</f>
        <v>rg:[ { 'req' : 'id'} ]</v>
      </c>
      <c r="Y42" s="4" t="str">
        <f>IF(LEN(Table2[[#This Row],[!Unique]])&gt;0,"rg:True","rg:None")</f>
        <v>rg:None</v>
      </c>
    </row>
    <row r="43" spans="1:25" x14ac:dyDescent="0.3">
      <c r="A43" s="32" t="s">
        <v>266</v>
      </c>
      <c r="B43" s="3" t="s">
        <v>7</v>
      </c>
      <c r="C43" s="3"/>
      <c r="D43" s="3" t="s">
        <v>126</v>
      </c>
      <c r="E43" s="42"/>
      <c r="F43" s="3" t="s">
        <v>5</v>
      </c>
      <c r="G43" s="4"/>
      <c r="H43" s="4"/>
      <c r="I43" s="4" t="str">
        <f t="shared" si="3"/>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blockName</v>
      </c>
      <c r="V43" s="4" t="str">
        <f>IF(LEN(Table2[[#This Row],[!Description]]) &gt; 0, Table2[[#This Row],[!Description]], "rg:None")</f>
        <v>rg:None</v>
      </c>
      <c r="W43" s="4" t="str">
        <f>IF(LEN(Table2[[#This Row],[!FK]])&gt;0,Table2[[#This Row],[!FK]],"rg:None")</f>
        <v>rg:None</v>
      </c>
      <c r="X43" s="15" t="str">
        <f>IF(LEN(concatif2(A:A,Table2[[#This Row],[!Table]],G:G,"Y",D:D,",")) &gt; 0,"rg:[ { 'req' : '"&amp;concatif2(A:A,Table2[[#This Row],[!Table]],G:G,"Y",D:D,"' }, { 'req': '")&amp;"'} ]","rg:[]")</f>
        <v>rg:[ { 'req' : 'id'} ]</v>
      </c>
      <c r="Y43" s="4" t="str">
        <f>IF(LEN(Table2[[#This Row],[!Unique]])&gt;0,"rg:True","rg:None")</f>
        <v>rg:None</v>
      </c>
    </row>
    <row r="44" spans="1:25" x14ac:dyDescent="0.3">
      <c r="A44" s="32" t="s">
        <v>266</v>
      </c>
      <c r="B44" s="3" t="s">
        <v>7</v>
      </c>
      <c r="C44" s="3">
        <v>255</v>
      </c>
      <c r="D44" s="3" t="s">
        <v>127</v>
      </c>
      <c r="E44" s="42"/>
      <c r="F44" s="3" t="s">
        <v>5</v>
      </c>
      <c r="G44" s="4"/>
      <c r="H44" s="4"/>
      <c r="I44" s="4" t="str">
        <f t="shared" si="3"/>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255</v>
      </c>
      <c r="U44" s="4" t="str">
        <f>IF(LEN(Table2[[#This Row],[!Name]]) &gt; 0, Table2[[#This Row],[!Name]], "rg:None")</f>
        <v>closed</v>
      </c>
      <c r="V44" s="4" t="str">
        <f>IF(LEN(Table2[[#This Row],[!Description]]) &gt; 0, Table2[[#This Row],[!Description]], "rg:None")</f>
        <v>rg:None</v>
      </c>
      <c r="W44" s="4" t="str">
        <f>IF(LEN(Table2[[#This Row],[!FK]])&gt;0,Table2[[#This Row],[!FK]],"rg:None")</f>
        <v>rg:None</v>
      </c>
      <c r="X44" s="15" t="str">
        <f>IF(LEN(concatif2(A:A,Table2[[#This Row],[!Table]],G:G,"Y",D:D,",")) &gt; 0,"rg:[ { 'req' : '"&amp;concatif2(A:A,Table2[[#This Row],[!Table]],G:G,"Y",D:D,"' }, { 'req': '")&amp;"'} ]","rg:[]")</f>
        <v>rg:[ { 'req' : 'id'} ]</v>
      </c>
      <c r="Y44" s="4" t="str">
        <f>IF(LEN(Table2[[#This Row],[!Unique]])&gt;0,"rg:True","rg:None")</f>
        <v>rg:None</v>
      </c>
    </row>
    <row r="45" spans="1:25" x14ac:dyDescent="0.3">
      <c r="A45" s="32" t="s">
        <v>266</v>
      </c>
      <c r="B45" s="3" t="s">
        <v>7</v>
      </c>
      <c r="C45" s="3">
        <v>2048</v>
      </c>
      <c r="D45" s="3" t="s">
        <v>128</v>
      </c>
      <c r="E45" s="42"/>
      <c r="F45" s="3" t="s">
        <v>5</v>
      </c>
      <c r="G45" s="4"/>
      <c r="H45" s="4"/>
      <c r="I45" s="4" t="str">
        <f t="shared" si="3"/>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closedComments</v>
      </c>
      <c r="V45" s="4" t="str">
        <f>IF(LEN(Table2[[#This Row],[!Description]]) &gt; 0, Table2[[#This Row],[!Description]], "rg:None")</f>
        <v>rg:None</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266</v>
      </c>
      <c r="B46" s="3" t="s">
        <v>12</v>
      </c>
      <c r="C46" s="3"/>
      <c r="D46" s="34" t="s">
        <v>269</v>
      </c>
      <c r="E46" s="42"/>
      <c r="F46" s="3" t="s">
        <v>5</v>
      </c>
      <c r="G46" s="4"/>
      <c r="H46" s="4"/>
      <c r="I46" s="4" t="str">
        <f t="shared" si="3"/>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closedDate</v>
      </c>
      <c r="V46" s="4" t="str">
        <f>IF(LEN(Table2[[#This Row],[!Description]]) &gt; 0, Table2[[#This Row],[!Description]], "rg:None")</f>
        <v>rg:None</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266</v>
      </c>
      <c r="B47" s="3" t="s">
        <v>7</v>
      </c>
      <c r="C47" s="3"/>
      <c r="D47" s="3" t="s">
        <v>129</v>
      </c>
      <c r="E47" s="42"/>
      <c r="F47" s="3" t="s">
        <v>5</v>
      </c>
      <c r="G47" s="4"/>
      <c r="H47" s="4"/>
      <c r="I47" s="4" t="str">
        <f t="shared" si="3"/>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t="str">
        <f>IF(LEN(Table2[[#This Row],[!Length]]) &gt; 0, Table2[[#This Row],[!Length]], "rg:None")</f>
        <v>rg:None</v>
      </c>
      <c r="U47" s="4" t="str">
        <f>IF(LEN(Table2[[#This Row],[!Name]]) &gt; 0, Table2[[#This Row],[!Name]], "rg:None")</f>
        <v>closedBy</v>
      </c>
      <c r="V47" s="4" t="str">
        <f>IF(LEN(Table2[[#This Row],[!Description]]) &gt; 0, Table2[[#This Row],[!Description]], "rg:None")</f>
        <v>rg:None</v>
      </c>
      <c r="W47" s="4" t="str">
        <f>IF(LEN(Table2[[#This Row],[!FK]])&gt;0,Table2[[#This Row],[!FK]],"rg:None")</f>
        <v>rg:None</v>
      </c>
      <c r="X47" s="15" t="str">
        <f>IF(LEN(concatif2(A:A,Table2[[#This Row],[!Table]],G:G,"Y",D:D,",")) &gt; 0,"rg:[ { 'req' : '"&amp;concatif2(A:A,Table2[[#This Row],[!Table]],G:G,"Y",D:D,"' }, { 'req': '")&amp;"'} ]","rg:[]")</f>
        <v>rg:[ { 'req' : 'id'} ]</v>
      </c>
      <c r="Y47" s="4" t="str">
        <f>IF(LEN(Table2[[#This Row],[!Unique]])&gt;0,"rg:True","rg:None")</f>
        <v>rg:None</v>
      </c>
    </row>
    <row r="48" spans="1:25" x14ac:dyDescent="0.3">
      <c r="A48" s="32" t="s">
        <v>266</v>
      </c>
      <c r="B48" s="3" t="s">
        <v>12</v>
      </c>
      <c r="C48" s="3"/>
      <c r="D48" s="34" t="s">
        <v>270</v>
      </c>
      <c r="E48" s="42"/>
      <c r="F48" s="3" t="s">
        <v>5</v>
      </c>
      <c r="G48" s="4"/>
      <c r="H48" s="4"/>
      <c r="I48" s="4" t="str">
        <f t="shared" si="3"/>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reservedDate</v>
      </c>
      <c r="V48" s="4" t="str">
        <f>IF(LEN(Table2[[#This Row],[!Description]]) &gt; 0, Table2[[#This Row],[!Description]], "rg:None")</f>
        <v>rg:None</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266</v>
      </c>
      <c r="B49" s="3" t="s">
        <v>7</v>
      </c>
      <c r="C49" s="3">
        <v>255</v>
      </c>
      <c r="D49" s="34" t="s">
        <v>271</v>
      </c>
      <c r="E49" s="42"/>
      <c r="F49" s="3" t="s">
        <v>5</v>
      </c>
      <c r="G49" s="4"/>
      <c r="H49" s="4"/>
      <c r="I49" s="4" t="str">
        <f t="shared" si="3"/>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255</v>
      </c>
      <c r="U49" s="4" t="str">
        <f>IF(LEN(Table2[[#This Row],[!Name]]) &gt; 0, Table2[[#This Row],[!Name]], "rg:None")</f>
        <v>reservedBy</v>
      </c>
      <c r="V49" s="4" t="str">
        <f>IF(LEN(Table2[[#This Row],[!Description]]) &gt; 0, Table2[[#This Row],[!Description]], "rg:None")</f>
        <v>rg:None</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x14ac:dyDescent="0.3">
      <c r="A50" s="32" t="s">
        <v>275</v>
      </c>
      <c r="B50" s="32" t="s">
        <v>4</v>
      </c>
      <c r="C50" s="19"/>
      <c r="D50" s="32" t="s">
        <v>275</v>
      </c>
      <c r="E50" s="58" t="s">
        <v>312</v>
      </c>
      <c r="F50" s="33"/>
      <c r="G50" s="20"/>
      <c r="H50" s="20"/>
      <c r="I50" s="4" t="str">
        <f t="shared" ref="I50:I56" si="4">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table</v>
      </c>
      <c r="T50" s="4" t="str">
        <f>IF(LEN(Table2[[#This Row],[!Length]]) &gt; 0, Table2[[#This Row],[!Length]], "rg:None")</f>
        <v>rg:None</v>
      </c>
      <c r="U50" s="4" t="str">
        <f>IF(LEN(Table2[[#This Row],[!Name]]) &gt; 0, Table2[[#This Row],[!Name]], "rg:None")</f>
        <v>HireOffer</v>
      </c>
      <c r="V50" s="4" t="str">
        <f>IF(LEN(Table2[[#This Row],[!Description]]) &gt; 0, Table2[[#This Row],[!Description]], "rg:None")</f>
        <v>Offers made to hire equipment based on a Request. Each offer made and the result of that order is recorded.</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275</v>
      </c>
      <c r="B51" s="27" t="s">
        <v>6</v>
      </c>
      <c r="C51" s="19"/>
      <c r="D51" s="27" t="s">
        <v>6</v>
      </c>
      <c r="E51" s="42" t="s">
        <v>313</v>
      </c>
      <c r="F51" s="13"/>
      <c r="G51" s="29" t="s">
        <v>70</v>
      </c>
      <c r="H51" s="29"/>
      <c r="I51" s="4" t="str">
        <f t="shared" si="4"/>
        <v>Defs</v>
      </c>
      <c r="J51" s="4" t="str">
        <f>IF(Table2[[#This Row],[!Type]]=J$1, J$1,"rg:None")</f>
        <v>rg:None</v>
      </c>
      <c r="K51" s="4" t="str">
        <f>IF(Table2[[#This Row],[!Type]]=K$1, K$1,"rg:None")</f>
        <v>rg:None</v>
      </c>
      <c r="L51" s="4" t="str">
        <f>IF(Table2[[#This Row],[!Type]]=L$1, L$1,"rg:None")</f>
        <v>rg:None</v>
      </c>
      <c r="M51" s="4" t="str">
        <f>IF(Table2[[#This Row],[!Type]]=M$1, M$1,"rg:None")</f>
        <v>id</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id</v>
      </c>
      <c r="V51" s="4" t="str">
        <f>IF(LEN(Table2[[#This Row],[!Description]]) &gt; 0, Table2[[#This Row],[!Description]], "rg:None")</f>
        <v>A system-generated unique identifier for a HireOffer</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275</v>
      </c>
      <c r="B52" s="32" t="s">
        <v>8</v>
      </c>
      <c r="C52" s="19"/>
      <c r="D52" s="32" t="s">
        <v>276</v>
      </c>
      <c r="E52" s="60"/>
      <c r="F52" s="33" t="s">
        <v>256</v>
      </c>
      <c r="G52" s="20"/>
      <c r="H52" s="20"/>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request</v>
      </c>
      <c r="V52" s="4" t="str">
        <f>IF(LEN(Table2[[#This Row],[!Description]]) &gt; 0, Table2[[#This Row],[!Description]], "rg:None")</f>
        <v>rg:None</v>
      </c>
      <c r="W52" s="4" t="str">
        <f>IF(LEN(Table2[[#This Row],[!FK]])&gt;0,Table2[[#This Row],[!FK]],"rg:None")</f>
        <v>Request</v>
      </c>
      <c r="X52" s="15" t="str">
        <f>IF(LEN(concatif2(A:A,Table2[[#This Row],[!Table]],G:G,"Y",D:D,",")) &gt; 0,"rg:[ { 'req' : '"&amp;concatif2(A:A,Table2[[#This Row],[!Table]],G:G,"Y",D:D,"' }, { 'req': '")&amp;"'} ]","rg:[]")</f>
        <v>rg:[ { 'req' : 'id'} ]</v>
      </c>
      <c r="Y52" s="4" t="str">
        <f>IF(LEN(Table2[[#This Row],[!Unique]])&gt;0,"rg:True","rg:None")</f>
        <v>rg:None</v>
      </c>
    </row>
    <row r="53" spans="1:25" x14ac:dyDescent="0.3">
      <c r="A53" s="32" t="s">
        <v>275</v>
      </c>
      <c r="B53" s="32" t="s">
        <v>8</v>
      </c>
      <c r="C53" s="19"/>
      <c r="D53" s="32" t="s">
        <v>237</v>
      </c>
      <c r="E53" s="60"/>
      <c r="F53" s="33" t="s">
        <v>239</v>
      </c>
      <c r="G53" s="20"/>
      <c r="H53" s="20"/>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rg:None</v>
      </c>
      <c r="W53" s="4" t="str">
        <f>IF(LEN(Table2[[#This Row],[!FK]])&gt;0,Table2[[#This Row],[!FK]],"rg:None")</f>
        <v>Equipment</v>
      </c>
      <c r="X53" s="15" t="str">
        <f>IF(LEN(concatif2(A:A,Table2[[#This Row],[!Table]],G:G,"Y",D:D,",")) &gt; 0,"rg:[ { 'req' : '"&amp;concatif2(A:A,Table2[[#This Row],[!Table]],G:G,"Y",D:D,"' }, { 'req': '")&amp;"'} ]","rg:[]")</f>
        <v>rg:[ { 'req' : 'id'} ]</v>
      </c>
      <c r="Y53" s="4" t="str">
        <f>IF(LEN(Table2[[#This Row],[!Unique]])&gt;0,"rg:True","rg:None")</f>
        <v>rg:None</v>
      </c>
    </row>
    <row r="54" spans="1:25" x14ac:dyDescent="0.3">
      <c r="A54" s="32" t="s">
        <v>275</v>
      </c>
      <c r="B54" s="32" t="s">
        <v>8</v>
      </c>
      <c r="C54" s="19"/>
      <c r="D54" s="32" t="s">
        <v>283</v>
      </c>
      <c r="E54" s="58" t="s">
        <v>318</v>
      </c>
      <c r="F54" s="32" t="s">
        <v>282</v>
      </c>
      <c r="G54" s="20"/>
      <c r="H54" s="20"/>
      <c r="I54" s="4" t="str">
        <f t="shared" si="4"/>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v>
      </c>
      <c r="V54" s="4" t="str">
        <f>IF(LEN(Table2[[#This Row],[!Description]]) &gt; 0, Table2[[#This Row],[!Description]], "rg:None")</f>
        <v>The rental agreement (if any) created for this accepted hire offer.</v>
      </c>
      <c r="W54" s="4" t="str">
        <f>IF(LEN(Table2[[#This Row],[!FK]])&gt;0,Table2[[#This Row],[!FK]],"rg:None")</f>
        <v>RentalAgreement</v>
      </c>
      <c r="X54" s="15" t="str">
        <f>IF(LEN(concatif2(A:A,Table2[[#This Row],[!Table]],G:G,"Y",D:D,",")) &gt; 0,"rg:[ { 'req' : '"&amp;concatif2(A:A,Table2[[#This Row],[!Table]],G:G,"Y",D:D,"' }, { 'req': '")&amp;"'} ]","rg:[]")</f>
        <v>rg:[ { 'req' : 'id'} ]</v>
      </c>
      <c r="Y54" s="4" t="str">
        <f>IF(LEN(Table2[[#This Row],[!Unique]])&gt;0,"rg:True","rg:None")</f>
        <v>rg:None</v>
      </c>
    </row>
    <row r="55" spans="1:25" x14ac:dyDescent="0.3">
      <c r="A55" s="32" t="s">
        <v>275</v>
      </c>
      <c r="B55" s="32" t="s">
        <v>9</v>
      </c>
      <c r="C55" s="19"/>
      <c r="D55" s="32" t="s">
        <v>281</v>
      </c>
      <c r="E55" s="58" t="s">
        <v>319</v>
      </c>
      <c r="F55" s="13"/>
      <c r="G55" s="20"/>
      <c r="H55" s="20"/>
      <c r="I55" s="4" t="str">
        <f t="shared" si="4"/>
        <v>Defs</v>
      </c>
      <c r="J55" s="4" t="str">
        <f>IF(Table2[[#This Row],[!Type]]=J$1, J$1,"rg:None")</f>
        <v>boolean</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isForceHire</v>
      </c>
      <c r="V55" s="4" t="str">
        <f>IF(LEN(Table2[[#This Row],[!Description]]) &gt; 0, Table2[[#This Row],[!Description]], "rg:None")</f>
        <v>True if the HETS Clerk designated this hire as being a Forced Hire. A Force Hire implies that the usual seniority rules for hiring are bypassed because of special circumstances related to the hire - e.g. a the hire requires an attachment only one piece of equipment has.</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275</v>
      </c>
      <c r="B56" s="35" t="s">
        <v>9</v>
      </c>
      <c r="C56" s="19"/>
      <c r="D56" s="58" t="s">
        <v>320</v>
      </c>
      <c r="E56" s="58" t="s">
        <v>322</v>
      </c>
      <c r="F56" s="13"/>
      <c r="G56" s="20"/>
      <c r="H56" s="20"/>
      <c r="I56" s="4" t="str">
        <f t="shared" si="4"/>
        <v>Defs</v>
      </c>
      <c r="J56" s="4" t="str">
        <f>IF(Table2[[#This Row],[!Type]]=J$1, J$1,"rg:None")</f>
        <v>boolean</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wasAsked</v>
      </c>
      <c r="V56" s="4" t="str">
        <f>IF(LEN(Table2[[#This Row],[!Description]]) &gt; 0, Table2[[#This Row],[!Description]], "rg:None")</f>
        <v>True if the HETS Clerk contacted the equipment owner and asked to hire the piece of equipment.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x14ac:dyDescent="0.3">
      <c r="A57" s="32" t="s">
        <v>275</v>
      </c>
      <c r="B57" s="32" t="s">
        <v>12</v>
      </c>
      <c r="C57" s="19"/>
      <c r="D57" s="58" t="s">
        <v>321</v>
      </c>
      <c r="E57" s="73" t="s">
        <v>527</v>
      </c>
      <c r="F57" s="13"/>
      <c r="G57" s="20"/>
      <c r="H57" s="20"/>
      <c r="I57" s="4" t="str">
        <f t="shared" ref="I57:I64" si="5">IF(LEN(A57) &gt; 0,"Defs","-")</f>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askedDateTime</v>
      </c>
      <c r="V57" s="4" t="str">
        <f>IF(LEN(Table2[[#This Row],[!Description]]) &gt; 0, Table2[[#This Row],[!Description]], "rg:None")</f>
        <v>The Date-Time the HETS clerk contacted the equipment owner and asked to hire the piece of equipment.</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32" t="s">
        <v>275</v>
      </c>
      <c r="B58" s="58" t="s">
        <v>7</v>
      </c>
      <c r="C58" s="19"/>
      <c r="D58" s="58" t="s">
        <v>323</v>
      </c>
      <c r="E58" s="65" t="s">
        <v>324</v>
      </c>
      <c r="F58" s="13"/>
      <c r="G58" s="20"/>
      <c r="H58" s="20"/>
      <c r="I58" s="4" t="str">
        <f>IF(LEN(A58) &gt; 0,"Defs","-")</f>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t="str">
        <f>IF(LEN(Table2[[#This Row],[!Length]]) &gt; 0, Table2[[#This Row],[!Length]], "rg:None")</f>
        <v>rg:None</v>
      </c>
      <c r="U58" s="4" t="str">
        <f>IF(LEN(Table2[[#This Row],[!Name]]) &gt; 0, Table2[[#This Row],[!Name]], "rg:None")</f>
        <v>offerResponse</v>
      </c>
      <c r="V58" s="4" t="str">
        <f>IF(LEN(Table2[[#This Row],[!Description]]) &gt; 0, Table2[[#This Row],[!Description]], "rg:None")</f>
        <v>The response to the offer to hire. Null prior to receiving a response; a string after with the response - likely just Yes or No</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32" t="s">
        <v>275</v>
      </c>
      <c r="B59" s="32" t="s">
        <v>7</v>
      </c>
      <c r="C59" s="19">
        <v>255</v>
      </c>
      <c r="D59" s="32" t="s">
        <v>277</v>
      </c>
      <c r="E59" s="58" t="s">
        <v>325</v>
      </c>
      <c r="F59" s="13"/>
      <c r="G59" s="20"/>
      <c r="H59" s="20"/>
      <c r="I59" s="4" t="str">
        <f t="shared" si="5"/>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4">
        <f>IF(LEN(Table2[[#This Row],[!Length]]) &gt; 0, Table2[[#This Row],[!Length]], "rg:None")</f>
        <v>255</v>
      </c>
      <c r="U59" s="4" t="str">
        <f>IF(LEN(Table2[[#This Row],[!Name]]) &gt; 0, Table2[[#This Row],[!Name]], "rg:None")</f>
        <v>refuseReason</v>
      </c>
      <c r="V59" s="4" t="str">
        <f>IF(LEN(Table2[[#This Row],[!Description]]) &gt; 0, Table2[[#This Row],[!Description]], "rg:None")</f>
        <v>An optional reason given by the equipment owner for refusing the offer.</v>
      </c>
      <c r="W59" s="4" t="str">
        <f>IF(LEN(Table2[[#This Row],[!FK]])&gt;0,Table2[[#This Row],[!FK]],"rg:None")</f>
        <v>rg:None</v>
      </c>
      <c r="X59" s="15" t="str">
        <f>IF(LEN(concatif2(A:A,Table2[[#This Row],[!Table]],G:G,"Y",D:D,",")) &gt; 0,"rg:[ { 'req' : '"&amp;concatif2(A:A,Table2[[#This Row],[!Table]],G:G,"Y",D:D,"' }, { 'req': '")&amp;"'} ]","rg:[]")</f>
        <v>rg:[ { 'req' : 'id'} ]</v>
      </c>
      <c r="Y59" s="4" t="str">
        <f>IF(LEN(Table2[[#This Row],[!Unique]])&gt;0,"rg:True","rg:None")</f>
        <v>rg:None</v>
      </c>
    </row>
    <row r="60" spans="1:25" x14ac:dyDescent="0.3">
      <c r="A60" s="32" t="s">
        <v>275</v>
      </c>
      <c r="B60" s="32" t="s">
        <v>7</v>
      </c>
      <c r="C60" s="19">
        <v>255</v>
      </c>
      <c r="D60" s="32" t="s">
        <v>202</v>
      </c>
      <c r="E60" s="58" t="s">
        <v>327</v>
      </c>
      <c r="F60" s="13"/>
      <c r="G60" s="20"/>
      <c r="H60" s="20"/>
      <c r="I60" s="4" t="str">
        <f t="shared" si="5"/>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4">
        <f>IF(LEN(Table2[[#This Row],[!Length]]) &gt; 0, Table2[[#This Row],[!Length]], "rg:None")</f>
        <v>255</v>
      </c>
      <c r="U60" s="4" t="str">
        <f>IF(LEN(Table2[[#This Row],[!Name]]) &gt; 0, Table2[[#This Row],[!Name]], "rg:None")</f>
        <v>note</v>
      </c>
      <c r="V60" s="4" t="str">
        <f>IF(LEN(Table2[[#This Row],[!Description]]) &gt; 0, Table2[[#This Row],[!Description]], "rg:None")</f>
        <v>An optional general note about the offer.</v>
      </c>
      <c r="W60" s="4" t="str">
        <f>IF(LEN(Table2[[#This Row],[!FK]])&gt;0,Table2[[#This Row],[!FK]],"rg:None")</f>
        <v>rg:None</v>
      </c>
      <c r="X60" s="15" t="str">
        <f>IF(LEN(concatif2(A:A,Table2[[#This Row],[!Table]],G:G,"Y",D:D,",")) &gt; 0,"rg:[ { 'req' : '"&amp;concatif2(A:A,Table2[[#This Row],[!Table]],G:G,"Y",D:D,"' }, { 'req': '")&amp;"'} ]","rg:[]")</f>
        <v>rg:[ { 'req' : 'id'} ]</v>
      </c>
      <c r="Y60" s="4" t="str">
        <f>IF(LEN(Table2[[#This Row],[!Unique]])&gt;0,"rg:True","rg:None")</f>
        <v>rg:None</v>
      </c>
    </row>
    <row r="61" spans="1:25" x14ac:dyDescent="0.3">
      <c r="A61" s="32" t="s">
        <v>275</v>
      </c>
      <c r="B61" s="32" t="s">
        <v>9</v>
      </c>
      <c r="C61" s="19"/>
      <c r="D61" s="32" t="s">
        <v>278</v>
      </c>
      <c r="E61" s="58" t="s">
        <v>326</v>
      </c>
      <c r="F61" s="13"/>
      <c r="G61" s="20"/>
      <c r="H61" s="20"/>
      <c r="I61" s="4" t="str">
        <f t="shared" si="5"/>
        <v>Defs</v>
      </c>
      <c r="J61" s="4" t="str">
        <f>IF(Table2[[#This Row],[!Type]]=J$1, J$1,"rg:None")</f>
        <v>boolean</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equipmentVerifiedActive</v>
      </c>
      <c r="V61" s="4" t="str">
        <f>IF(LEN(Table2[[#This Row],[!Description]]) &gt; 0, Table2[[#This Row],[!Description]], "rg:None")</f>
        <v>TO BE REMOVED - THIS IS AN ATTRIBUTE OF THE EQUIPMENT</v>
      </c>
      <c r="W61" s="4" t="str">
        <f>IF(LEN(Table2[[#This Row],[!FK]])&gt;0,Table2[[#This Row],[!FK]],"rg:None")</f>
        <v>rg:None</v>
      </c>
      <c r="X61" s="15" t="str">
        <f>IF(LEN(concatif2(A:A,Table2[[#This Row],[!Table]],G:G,"Y",D:D,",")) &gt; 0,"rg:[ { 'req' : '"&amp;concatif2(A:A,Table2[[#This Row],[!Table]],G:G,"Y",D:D,"' }, { 'req': '")&amp;"'} ]","rg:[]")</f>
        <v>rg:[ { 'req' : 'id'} ]</v>
      </c>
      <c r="Y61" s="4" t="str">
        <f>IF(LEN(Table2[[#This Row],[!Unique]])&gt;0,"rg:True","rg:None")</f>
        <v>rg:None</v>
      </c>
    </row>
    <row r="62" spans="1:25" x14ac:dyDescent="0.3">
      <c r="A62" s="32" t="s">
        <v>275</v>
      </c>
      <c r="B62" s="32" t="s">
        <v>9</v>
      </c>
      <c r="C62" s="19"/>
      <c r="D62" s="32" t="s">
        <v>279</v>
      </c>
      <c r="E62" s="58" t="s">
        <v>326</v>
      </c>
      <c r="F62" s="13"/>
      <c r="G62" s="20"/>
      <c r="H62" s="20"/>
      <c r="I62" s="4" t="str">
        <f t="shared" si="5"/>
        <v>Defs</v>
      </c>
      <c r="J62" s="4" t="str">
        <f>IF(Table2[[#This Row],[!Type]]=J$1, J$1,"rg:None")</f>
        <v>boolean</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flagEquipmentUpdate</v>
      </c>
      <c r="V62" s="4" t="str">
        <f>IF(LEN(Table2[[#This Row],[!Description]]) &gt; 0, Table2[[#This Row],[!Description]], "rg:None")</f>
        <v>TO BE REMOVED - THIS IS AN ATTRIBUTE OF THE EQUIPMENT</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x14ac:dyDescent="0.3">
      <c r="A63" s="32" t="s">
        <v>275</v>
      </c>
      <c r="B63" s="32" t="s">
        <v>7</v>
      </c>
      <c r="C63" s="19">
        <v>255</v>
      </c>
      <c r="D63" s="32" t="s">
        <v>280</v>
      </c>
      <c r="E63" s="58" t="s">
        <v>326</v>
      </c>
      <c r="F63" s="13"/>
      <c r="G63" s="20"/>
      <c r="H63" s="20"/>
      <c r="I63" s="4" t="str">
        <f t="shared" si="5"/>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255</v>
      </c>
      <c r="U63" s="4" t="str">
        <f>IF(LEN(Table2[[#This Row],[!Name]]) &gt; 0, Table2[[#This Row],[!Name]], "rg:None")</f>
        <v>equipmentUpdateReason</v>
      </c>
      <c r="V63" s="4" t="str">
        <f>IF(LEN(Table2[[#This Row],[!Description]]) &gt; 0, Table2[[#This Row],[!Description]], "rg:None")</f>
        <v>TO BE REMOVED - THIS IS AN ATTRIBUTE OF THE EQUIPMENT</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32" t="s">
        <v>282</v>
      </c>
      <c r="B64" s="32" t="s">
        <v>4</v>
      </c>
      <c r="C64" s="19"/>
      <c r="D64" s="32" t="s">
        <v>282</v>
      </c>
      <c r="E64" s="58" t="s">
        <v>328</v>
      </c>
      <c r="F64" s="33"/>
      <c r="G64" s="20"/>
      <c r="H64" s="20"/>
      <c r="I64" s="4" t="str">
        <f t="shared" si="5"/>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v>
      </c>
      <c r="V64" s="4" t="str">
        <f>IF(LEN(Table2[[#This Row],[!Description]]) &gt; 0, Table2[[#This Row],[!Description]], "rg:None")</f>
        <v>Information about the hiring of a specific piece of equipment to satisfy part or all of a request from a project.</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x14ac:dyDescent="0.3">
      <c r="A65" s="32" t="s">
        <v>282</v>
      </c>
      <c r="B65" s="27" t="s">
        <v>6</v>
      </c>
      <c r="C65" s="19"/>
      <c r="D65" s="27" t="s">
        <v>6</v>
      </c>
      <c r="E65" s="42" t="s">
        <v>426</v>
      </c>
      <c r="F65" s="13"/>
      <c r="G65" s="29" t="s">
        <v>70</v>
      </c>
      <c r="H65" s="29"/>
      <c r="I65" s="4" t="str">
        <f t="shared" ref="I65:I73" si="6">IF(LEN(A65) &gt; 0,"Defs","-")</f>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x14ac:dyDescent="0.3">
      <c r="A66" s="32" t="s">
        <v>282</v>
      </c>
      <c r="B66" s="32" t="s">
        <v>8</v>
      </c>
      <c r="C66" s="19"/>
      <c r="D66" s="32" t="s">
        <v>237</v>
      </c>
      <c r="E66" s="60"/>
      <c r="F66" s="33" t="s">
        <v>239</v>
      </c>
      <c r="G66" s="20"/>
      <c r="H66" s="20"/>
      <c r="I66" s="4" t="str">
        <f t="shared" si="6"/>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equipment</v>
      </c>
      <c r="V66" s="4" t="str">
        <f>IF(LEN(Table2[[#This Row],[!Description]]) &gt; 0, Table2[[#This Row],[!Description]], "rg:None")</f>
        <v>rg:None</v>
      </c>
      <c r="W66" s="4" t="str">
        <f>IF(LEN(Table2[[#This Row],[!FK]])&gt;0,Table2[[#This Row],[!FK]],"rg:None")</f>
        <v>Equipment</v>
      </c>
      <c r="X66" s="15" t="str">
        <f>IF(LEN(concatif2(A:A,Table2[[#This Row],[!Table]],G:G,"Y",D:D,",")) &gt; 0,"rg:[ { 'req' : '"&amp;concatif2(A:A,Table2[[#This Row],[!Table]],G:G,"Y",D:D,"' }, { 'req': '")&amp;"'} ]","rg:[]")</f>
        <v>rg:[ { 'req' : 'id'} ]</v>
      </c>
      <c r="Y66" s="4" t="str">
        <f>IF(LEN(Table2[[#This Row],[!Unique]])&gt;0,"rg:True","rg:None")</f>
        <v>rg:None</v>
      </c>
    </row>
    <row r="67" spans="1:25" x14ac:dyDescent="0.3">
      <c r="A67" s="32" t="s">
        <v>282</v>
      </c>
      <c r="B67" s="27" t="s">
        <v>8</v>
      </c>
      <c r="C67" s="19"/>
      <c r="D67" s="27" t="s">
        <v>196</v>
      </c>
      <c r="E67" s="60"/>
      <c r="F67" s="28" t="s">
        <v>163</v>
      </c>
      <c r="G67" s="20"/>
      <c r="H67" s="20"/>
      <c r="I67" s="4" t="str">
        <f t="shared" si="6"/>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project</v>
      </c>
      <c r="V67" s="4" t="str">
        <f>IF(LEN(Table2[[#This Row],[!Description]]) &gt; 0, Table2[[#This Row],[!Description]], "rg:None")</f>
        <v>rg:None</v>
      </c>
      <c r="W67" s="4" t="str">
        <f>IF(LEN(Table2[[#This Row],[!FK]])&gt;0,Table2[[#This Row],[!FK]],"rg:None")</f>
        <v>Project</v>
      </c>
      <c r="X67" s="15" t="str">
        <f>IF(LEN(concatif2(A:A,Table2[[#This Row],[!Table]],G:G,"Y",D:D,",")) &gt; 0,"rg:[ { 'req' : '"&amp;concatif2(A:A,Table2[[#This Row],[!Table]],G:G,"Y",D:D,"' }, { 'req': '")&amp;"'} ]","rg:[]")</f>
        <v>rg:[ { 'req' : 'id'} ]</v>
      </c>
      <c r="Y67" s="4" t="str">
        <f>IF(LEN(Table2[[#This Row],[!Unique]])&gt;0,"rg:True","rg:None")</f>
        <v>rg:None</v>
      </c>
    </row>
    <row r="68" spans="1:25" x14ac:dyDescent="0.3">
      <c r="A68" s="32" t="s">
        <v>282</v>
      </c>
      <c r="B68" s="32" t="s">
        <v>19</v>
      </c>
      <c r="C68" s="19"/>
      <c r="D68" s="32" t="s">
        <v>284</v>
      </c>
      <c r="E68" s="60"/>
      <c r="F68" s="33" t="s">
        <v>285</v>
      </c>
      <c r="G68" s="20"/>
      <c r="H68" s="20"/>
      <c r="I68" s="4" t="str">
        <f t="shared" si="6"/>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links</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timeRecords</v>
      </c>
      <c r="V68" s="4" t="str">
        <f>IF(LEN(Table2[[#This Row],[!Description]]) &gt; 0, Table2[[#This Row],[!Description]], "rg:None")</f>
        <v>rg:None</v>
      </c>
      <c r="W68" s="4" t="str">
        <f>IF(LEN(Table2[[#This Row],[!FK]])&gt;0,Table2[[#This Row],[!FK]],"rg:None")</f>
        <v>TimeRecord</v>
      </c>
      <c r="X68" s="15" t="str">
        <f>IF(LEN(concatif2(A:A,Table2[[#This Row],[!Table]],G:G,"Y",D:D,",")) &gt; 0,"rg:[ { 'req' : '"&amp;concatif2(A:A,Table2[[#This Row],[!Table]],G:G,"Y",D:D,"' }, { 'req': '")&amp;"'} ]","rg:[]")</f>
        <v>rg:[ { 'req' : 'id'} ]</v>
      </c>
      <c r="Y68" s="4" t="str">
        <f>IF(LEN(Table2[[#This Row],[!Unique]])&gt;0,"rg:True","rg:None")</f>
        <v>rg:None</v>
      </c>
    </row>
    <row r="69" spans="1:25" x14ac:dyDescent="0.3">
      <c r="A69" s="33" t="s">
        <v>285</v>
      </c>
      <c r="B69" s="32" t="s">
        <v>4</v>
      </c>
      <c r="C69" s="19"/>
      <c r="D69" s="33" t="s">
        <v>285</v>
      </c>
      <c r="E69" s="58" t="s">
        <v>329</v>
      </c>
      <c r="F69" s="13"/>
      <c r="G69" s="20"/>
      <c r="H69" s="20"/>
      <c r="I69" s="4" t="str">
        <f t="shared" si="6"/>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table</v>
      </c>
      <c r="T69" s="4" t="str">
        <f>IF(LEN(Table2[[#This Row],[!Length]]) &gt; 0, Table2[[#This Row],[!Length]], "rg:None")</f>
        <v>rg:None</v>
      </c>
      <c r="U69" s="4" t="str">
        <f>IF(LEN(Table2[[#This Row],[!Name]]) &gt; 0, Table2[[#This Row],[!Name]], "rg:None")</f>
        <v>TimeRecord</v>
      </c>
      <c r="V69" s="4" t="str">
        <f>IF(LEN(Table2[[#This Row],[!Description]]) &gt; 0, Table2[[#This Row],[!Description]], "rg:None")</f>
        <v>The time records recorded for a piece of equipment hired for a specific project within a localarea.</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33" t="s">
        <v>285</v>
      </c>
      <c r="B70" s="27" t="s">
        <v>6</v>
      </c>
      <c r="C70" s="19"/>
      <c r="D70" s="27" t="s">
        <v>6</v>
      </c>
      <c r="E70" s="42" t="s">
        <v>425</v>
      </c>
      <c r="F70" s="13"/>
      <c r="G70" s="29" t="s">
        <v>70</v>
      </c>
      <c r="H70" s="29"/>
      <c r="I70" s="4" t="str">
        <f t="shared" si="6"/>
        <v>Defs</v>
      </c>
      <c r="J70" s="4" t="str">
        <f>IF(Table2[[#This Row],[!Type]]=J$1, J$1,"rg:None")</f>
        <v>rg:None</v>
      </c>
      <c r="K70" s="4" t="str">
        <f>IF(Table2[[#This Row],[!Type]]=K$1, K$1,"rg:None")</f>
        <v>rg:None</v>
      </c>
      <c r="L70" s="4" t="str">
        <f>IF(Table2[[#This Row],[!Type]]=L$1, L$1,"rg:None")</f>
        <v>rg:None</v>
      </c>
      <c r="M70" s="4" t="str">
        <f>IF(Table2[[#This Row],[!Type]]=M$1, M$1,"rg:None")</f>
        <v>id</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id</v>
      </c>
      <c r="V70" s="4" t="str">
        <f>IF(LEN(Table2[[#This Row],[!Description]]) &gt; 0, Table2[[#This Row],[!Description]], "rg:None")</f>
        <v>A system-generated unique identifier for a TimeRecord</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33" t="s">
        <v>285</v>
      </c>
      <c r="B71" s="32" t="s">
        <v>8</v>
      </c>
      <c r="C71" s="19"/>
      <c r="D71" s="32" t="s">
        <v>283</v>
      </c>
      <c r="E71" s="60"/>
      <c r="F71" s="33" t="s">
        <v>282</v>
      </c>
      <c r="G71" s="20"/>
      <c r="H71" s="20"/>
      <c r="I71" s="4" t="str">
        <f t="shared" si="6"/>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ref</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rentalAgreement</v>
      </c>
      <c r="V71" s="4" t="str">
        <f>IF(LEN(Table2[[#This Row],[!Description]]) &gt; 0, Table2[[#This Row],[!Description]], "rg:None")</f>
        <v>rg:None</v>
      </c>
      <c r="W71" s="4" t="str">
        <f>IF(LEN(Table2[[#This Row],[!FK]])&gt;0,Table2[[#This Row],[!FK]],"rg:None")</f>
        <v>RentalAgreement</v>
      </c>
      <c r="X71" s="15" t="str">
        <f>IF(LEN(concatif2(A:A,Table2[[#This Row],[!Table]],G:G,"Y",D:D,",")) &gt; 0,"rg:[ { 'req' : '"&amp;concatif2(A:A,Table2[[#This Row],[!Table]],G:G,"Y",D:D,"' }, { 'req': '")&amp;"'} ]","rg:[]")</f>
        <v>rg:[ { 'req' : 'id'} ]</v>
      </c>
      <c r="Y71" s="4" t="str">
        <f>IF(LEN(Table2[[#This Row],[!Unique]])&gt;0,"rg:True","rg:None")</f>
        <v>rg:None</v>
      </c>
    </row>
    <row r="72" spans="1:25" x14ac:dyDescent="0.3">
      <c r="A72" s="33" t="s">
        <v>285</v>
      </c>
      <c r="B72" s="34" t="s">
        <v>12</v>
      </c>
      <c r="C72" s="3"/>
      <c r="D72" s="34" t="s">
        <v>286</v>
      </c>
      <c r="E72" s="58" t="s">
        <v>332</v>
      </c>
      <c r="F72" s="13"/>
      <c r="G72" s="20"/>
      <c r="H72" s="20"/>
      <c r="I72" s="4" t="str">
        <f t="shared" si="6"/>
        <v>Defs</v>
      </c>
      <c r="J72" s="4" t="str">
        <f>IF(Table2[[#This Row],[!Type]]=J$1, J$1,"rg:None")</f>
        <v>rg:None</v>
      </c>
      <c r="K72" s="4" t="str">
        <f>IF(Table2[[#This Row],[!Type]]=K$1, K$1,"rg:None")</f>
        <v>rg:None</v>
      </c>
      <c r="L72" s="4" t="str">
        <f>IF(Table2[[#This Row],[!Type]]=L$1, L$1,"rg:None")</f>
        <v>datetime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workedDate</v>
      </c>
      <c r="V72" s="4" t="str">
        <f>IF(LEN(Table2[[#This Row],[!Description]]) &gt; 0, Table2[[#This Row],[!Description]], "rg:None")</f>
        <v>The date of the time record entry - the day of the entry if it is a daily entry, or a date in the week in which the work occurred if tracked weekly.</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33" t="s">
        <v>285</v>
      </c>
      <c r="B73" s="34" t="s">
        <v>12</v>
      </c>
      <c r="C73" s="3"/>
      <c r="D73" s="34" t="s">
        <v>287</v>
      </c>
      <c r="E73" s="73" t="s">
        <v>528</v>
      </c>
      <c r="F73" s="13"/>
      <c r="G73" s="20"/>
      <c r="H73" s="20"/>
      <c r="I73" s="4" t="str">
        <f t="shared" si="6"/>
        <v>Defs</v>
      </c>
      <c r="J73" s="4" t="str">
        <f>IF(Table2[[#This Row],[!Type]]=J$1, J$1,"rg:None")</f>
        <v>rg:None</v>
      </c>
      <c r="K73" s="4" t="str">
        <f>IF(Table2[[#This Row],[!Type]]=K$1, K$1,"rg:None")</f>
        <v>rg:None</v>
      </c>
      <c r="L73" s="4" t="str">
        <f>IF(Table2[[#This Row],[!Type]]=L$1, L$1,"rg:None")</f>
        <v>datetime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enteredDate</v>
      </c>
      <c r="V73" s="4" t="str">
        <f>IF(LEN(Table2[[#This Row],[!Description]]) &gt; 0, Table2[[#This Row],[!Description]], "rg:None")</f>
        <v>The date-time the time record information was entered.</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58" t="s">
        <v>285</v>
      </c>
      <c r="B74" s="58" t="s">
        <v>7</v>
      </c>
      <c r="C74" s="19">
        <v>20</v>
      </c>
      <c r="D74" s="58" t="s">
        <v>330</v>
      </c>
      <c r="E74" s="58" t="s">
        <v>331</v>
      </c>
      <c r="F74" s="13"/>
      <c r="G74" s="20"/>
      <c r="H74" s="20"/>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20</v>
      </c>
      <c r="U74" s="4" t="str">
        <f>IF(LEN(Table2[[#This Row],[!Name]]) &gt; 0, Table2[[#This Row],[!Name]], "rg:None")</f>
        <v>timePeriod</v>
      </c>
      <c r="V74" s="4" t="str">
        <f>IF(LEN(Table2[[#This Row],[!Description]]) &gt; 0, Table2[[#This Row],[!Description]], "rg:None")</f>
        <v>The time period of the entry - either day or week. HETS Clerk have the option of entering time records on a day-by-day or week-by-week basis.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33" t="s">
        <v>285</v>
      </c>
      <c r="B75" s="3" t="s">
        <v>119</v>
      </c>
      <c r="C75" s="3"/>
      <c r="D75" s="3" t="s">
        <v>179</v>
      </c>
      <c r="E75" s="58" t="s">
        <v>333</v>
      </c>
      <c r="F75" s="13"/>
      <c r="G75" s="20"/>
      <c r="H75" s="20"/>
      <c r="I75" s="4" t="str">
        <f t="shared" ref="I75:I80" si="7">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hours</v>
      </c>
      <c r="V75" s="4" t="str">
        <f>IF(LEN(Table2[[#This Row],[!Description]]) &gt; 0, Table2[[#This Row],[!Description]], "rg:None")</f>
        <v>The number of hours worked by the equipment.</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33" t="s">
        <v>285</v>
      </c>
      <c r="B76" s="3" t="s">
        <v>119</v>
      </c>
      <c r="C76" s="3"/>
      <c r="D76" s="3" t="s">
        <v>180</v>
      </c>
      <c r="E76" s="58" t="s">
        <v>334</v>
      </c>
      <c r="F76" s="13"/>
      <c r="G76" s="20"/>
      <c r="H76" s="20"/>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float</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rate</v>
      </c>
      <c r="V76" s="4" t="str">
        <f>IF(LEN(Table2[[#This Row],[!Description]]) &gt; 0, Table2[[#This Row],[!Description]], "rg:None")</f>
        <v>TO BE REMOVED - REPLACE WITH A LINK TO A RATE ENTRY IN THE RENTAL AGREEMENT</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x14ac:dyDescent="0.3">
      <c r="A77" s="33" t="s">
        <v>285</v>
      </c>
      <c r="B77" s="3" t="s">
        <v>119</v>
      </c>
      <c r="C77" s="3"/>
      <c r="D77" s="3" t="s">
        <v>181</v>
      </c>
      <c r="E77" s="58" t="s">
        <v>334</v>
      </c>
      <c r="F77" s="13"/>
      <c r="G77" s="20"/>
      <c r="H77" s="20"/>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float</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hours2</v>
      </c>
      <c r="V77" s="4" t="str">
        <f>IF(LEN(Table2[[#This Row],[!Description]]) &gt; 0, Table2[[#This Row],[!Description]], "rg:None")</f>
        <v>TO BE REMOVED - REPLACE WITH A LINK TO A RATE ENTRY IN THE RENTAL AGREEMENT</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33" t="s">
        <v>285</v>
      </c>
      <c r="B78" s="3" t="s">
        <v>119</v>
      </c>
      <c r="C78" s="3"/>
      <c r="D78" s="3" t="s">
        <v>182</v>
      </c>
      <c r="E78" s="58" t="s">
        <v>334</v>
      </c>
      <c r="F78" s="13"/>
      <c r="G78" s="20"/>
      <c r="H78" s="20"/>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float</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rate2</v>
      </c>
      <c r="V78" s="4" t="str">
        <f>IF(LEN(Table2[[#This Row],[!Description]]) &gt; 0, Table2[[#This Row],[!Description]], "rg:None")</f>
        <v>TO BE REMOVED - REPLACE WITH A LINK TO A RATE ENTRY IN THE RENTAL AGREEMENT</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33" t="s">
        <v>285</v>
      </c>
      <c r="B79" s="3" t="s">
        <v>119</v>
      </c>
      <c r="C79" s="3"/>
      <c r="D79" s="3" t="s">
        <v>183</v>
      </c>
      <c r="E79" s="58" t="s">
        <v>334</v>
      </c>
      <c r="F79" s="13"/>
      <c r="G79" s="20"/>
      <c r="H79" s="20"/>
      <c r="I79" s="4" t="str">
        <f t="shared" si="7"/>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float</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hours3</v>
      </c>
      <c r="V79" s="4" t="str">
        <f>IF(LEN(Table2[[#This Row],[!Description]]) &gt; 0, Table2[[#This Row],[!Description]], "rg:None")</f>
        <v>TO BE REMOVED - REPLACE WITH A LINK TO A RATE ENTRY IN THE RENTAL AGREEMENT</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x14ac:dyDescent="0.3">
      <c r="A80" s="33" t="s">
        <v>285</v>
      </c>
      <c r="B80" s="3" t="s">
        <v>119</v>
      </c>
      <c r="C80" s="3"/>
      <c r="D80" s="3" t="s">
        <v>184</v>
      </c>
      <c r="E80" s="58" t="s">
        <v>334</v>
      </c>
      <c r="F80" s="13"/>
      <c r="G80" s="20"/>
      <c r="H80" s="20"/>
      <c r="I80" s="4" t="str">
        <f t="shared" si="7"/>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rate3</v>
      </c>
      <c r="V80" s="4" t="str">
        <f>IF(LEN(Table2[[#This Row],[!Description]]) &gt; 0, Table2[[#This Row],[!Description]], "rg:None")</f>
        <v>TO BE REMOVED - REPLACE WITH A LINK TO A RATE ENTRY IN THE RENTAL AGREEMENT</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x14ac:dyDescent="0.3">
      <c r="A81" s="23" t="s">
        <v>239</v>
      </c>
      <c r="B81" s="3" t="s">
        <v>4</v>
      </c>
      <c r="C81" s="3"/>
      <c r="D81" s="23" t="s">
        <v>239</v>
      </c>
      <c r="E81" s="59" t="s">
        <v>335</v>
      </c>
      <c r="F81" s="3" t="s">
        <v>5</v>
      </c>
      <c r="G81" s="4"/>
      <c r="H81" s="4"/>
      <c r="I81" s="4" t="str">
        <f t="shared" ref="I81:I93" si="8">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The collection of all equipment tracked in the system. Each piece of equipment is of a specific type, is linked to an Equipment Owner, and is managed within a Local Area.</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x14ac:dyDescent="0.3">
      <c r="A82" s="23" t="s">
        <v>239</v>
      </c>
      <c r="B82" s="3" t="s">
        <v>6</v>
      </c>
      <c r="C82" s="3"/>
      <c r="D82" s="3" t="s">
        <v>6</v>
      </c>
      <c r="E82" s="42" t="s">
        <v>424</v>
      </c>
      <c r="F82" s="3" t="s">
        <v>5</v>
      </c>
      <c r="G82" s="4" t="s">
        <v>70</v>
      </c>
      <c r="H82" s="4"/>
      <c r="I82" s="4" t="str">
        <f t="shared" si="8"/>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x14ac:dyDescent="0.3">
      <c r="A83" s="23" t="s">
        <v>239</v>
      </c>
      <c r="B83" s="3" t="s">
        <v>8</v>
      </c>
      <c r="C83" s="3"/>
      <c r="D83" s="23" t="s">
        <v>230</v>
      </c>
      <c r="E83" s="42"/>
      <c r="F83" s="23" t="s">
        <v>198</v>
      </c>
      <c r="G83" s="4"/>
      <c r="H83" s="4"/>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rg:None</v>
      </c>
      <c r="W83" s="4" t="str">
        <f>IF(LEN(Table2[[#This Row],[!FK]])&gt;0,Table2[[#This Row],[!FK]],"rg:None")</f>
        <v>LocalArea</v>
      </c>
      <c r="X83" s="15" t="str">
        <f>IF(LEN(concatif2(A:A,Table2[[#This Row],[!Table]],G:G,"Y",D:D,",")) &gt; 0,"rg:[ { 'req' : '"&amp;concatif2(A:A,Table2[[#This Row],[!Table]],G:G,"Y",D:D,"' }, { 'req': '")&amp;"'} ]","rg:[]")</f>
        <v>rg:[ { 'req' : 'id'} ]</v>
      </c>
      <c r="Y83" s="4" t="str">
        <f>IF(LEN(Table2[[#This Row],[!Unique]])&gt;0,"rg:True","rg:None")</f>
        <v>rg:None</v>
      </c>
    </row>
    <row r="84" spans="1:25" x14ac:dyDescent="0.3">
      <c r="A84" s="23" t="s">
        <v>239</v>
      </c>
      <c r="B84" s="3" t="s">
        <v>8</v>
      </c>
      <c r="C84" s="3"/>
      <c r="D84" s="23" t="s">
        <v>240</v>
      </c>
      <c r="E84" s="42"/>
      <c r="F84" s="23" t="s">
        <v>241</v>
      </c>
      <c r="G84" s="4"/>
      <c r="H84" s="4"/>
      <c r="I84" s="4" t="str">
        <f t="shared" si="8"/>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equipmentType</v>
      </c>
      <c r="V84" s="4" t="str">
        <f>IF(LEN(Table2[[#This Row],[!Description]]) &gt; 0, Table2[[#This Row],[!Description]], "rg:None")</f>
        <v>rg:None</v>
      </c>
      <c r="W84" s="4" t="str">
        <f>IF(LEN(Table2[[#This Row],[!FK]])&gt;0,Table2[[#This Row],[!FK]],"rg:None")</f>
        <v>EquipmentType</v>
      </c>
      <c r="X84" s="15" t="str">
        <f>IF(LEN(concatif2(A:A,Table2[[#This Row],[!Table]],G:G,"Y",D:D,",")) &gt; 0,"rg:[ { 'req' : '"&amp;concatif2(A:A,Table2[[#This Row],[!Table]],G:G,"Y",D:D,"' }, { 'req': '")&amp;"'} ]","rg:[]")</f>
        <v>rg:[ { 'req' : 'id'} ]</v>
      </c>
      <c r="Y84" s="4" t="str">
        <f>IF(LEN(Table2[[#This Row],[!Unique]])&gt;0,"rg:True","rg:None")</f>
        <v>rg:None</v>
      </c>
    </row>
    <row r="85" spans="1:25" x14ac:dyDescent="0.3">
      <c r="A85" s="23" t="s">
        <v>239</v>
      </c>
      <c r="B85" s="3" t="s">
        <v>8</v>
      </c>
      <c r="C85" s="3"/>
      <c r="D85" s="23" t="s">
        <v>251</v>
      </c>
      <c r="E85" s="42"/>
      <c r="F85" s="23" t="s">
        <v>130</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dumpTruckDetails</v>
      </c>
      <c r="V85" s="4" t="str">
        <f>IF(LEN(Table2[[#This Row],[!Description]]) &gt; 0, Table2[[#This Row],[!Description]], "rg:None")</f>
        <v>rg:None</v>
      </c>
      <c r="W85" s="4" t="str">
        <f>IF(LEN(Table2[[#This Row],[!FK]])&gt;0,Table2[[#This Row],[!FK]],"rg:None")</f>
        <v>DumpTruck</v>
      </c>
      <c r="X85" s="15" t="str">
        <f>IF(LEN(concatif2(A:A,Table2[[#This Row],[!Table]],G:G,"Y",D:D,",")) &gt; 0,"rg:[ { 'req' : '"&amp;concatif2(A:A,Table2[[#This Row],[!Table]],G:G,"Y",D:D,"' }, { 'req': '")&amp;"'} ]","rg:[]")</f>
        <v>rg:[ { 'req' : 'id'} ]</v>
      </c>
      <c r="Y85" s="4" t="str">
        <f>IF(LEN(Table2[[#This Row],[!Unique]])&gt;0,"rg:True","rg:None")</f>
        <v>rg:None</v>
      </c>
    </row>
    <row r="86" spans="1:25" x14ac:dyDescent="0.3">
      <c r="A86" s="23" t="s">
        <v>239</v>
      </c>
      <c r="B86" s="3" t="s">
        <v>8</v>
      </c>
      <c r="C86" s="3"/>
      <c r="D86" s="23" t="s">
        <v>195</v>
      </c>
      <c r="E86" s="42"/>
      <c r="F86" s="24" t="s">
        <v>187</v>
      </c>
      <c r="G86" s="4"/>
      <c r="H86" s="4"/>
      <c r="I86" s="4" t="str">
        <f t="shared" si="8"/>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ref</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owner</v>
      </c>
      <c r="V86" s="4" t="str">
        <f>IF(LEN(Table2[[#This Row],[!Description]]) &gt; 0, Table2[[#This Row],[!Description]], "rg:None")</f>
        <v>rg:None</v>
      </c>
      <c r="W86" s="4" t="str">
        <f>IF(LEN(Table2[[#This Row],[!FK]])&gt;0,Table2[[#This Row],[!FK]],"rg:None")</f>
        <v>Owner</v>
      </c>
      <c r="X86" s="15" t="str">
        <f>IF(LEN(concatif2(A:A,Table2[[#This Row],[!Table]],G:G,"Y",D:D,",")) &gt; 0,"rg:[ { 'req' : '"&amp;concatif2(A:A,Table2[[#This Row],[!Table]],G:G,"Y",D:D,"' }, { 'req': '")&amp;"'} ]","rg:[]")</f>
        <v>rg:[ { 'req' : 'id'} ]</v>
      </c>
      <c r="Y86" s="4" t="str">
        <f>IF(LEN(Table2[[#This Row],[!Unique]])&gt;0,"rg:True","rg:None")</f>
        <v>rg:None</v>
      </c>
    </row>
    <row r="87" spans="1:25" x14ac:dyDescent="0.3">
      <c r="A87" s="23" t="s">
        <v>239</v>
      </c>
      <c r="B87" s="3" t="s">
        <v>7</v>
      </c>
      <c r="C87" s="3">
        <v>255</v>
      </c>
      <c r="D87" s="57" t="s">
        <v>336</v>
      </c>
      <c r="E87" s="59" t="s">
        <v>337</v>
      </c>
      <c r="F87" s="3" t="s">
        <v>5</v>
      </c>
      <c r="G87" s="4"/>
      <c r="H87" s="4"/>
      <c r="I87" s="4" t="str">
        <f t="shared" si="8"/>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255</v>
      </c>
      <c r="U87" s="4" t="str">
        <f>IF(LEN(Table2[[#This Row],[!Name]]) &gt; 0, Table2[[#This Row],[!Name]], "rg:None")</f>
        <v>equipCode</v>
      </c>
      <c r="V87"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239</v>
      </c>
      <c r="B88" s="3" t="s">
        <v>7</v>
      </c>
      <c r="C88" s="3">
        <v>255</v>
      </c>
      <c r="D88" s="57" t="s">
        <v>338</v>
      </c>
      <c r="E88" s="59" t="s">
        <v>339</v>
      </c>
      <c r="F88" s="3" t="s">
        <v>5</v>
      </c>
      <c r="G88" s="4"/>
      <c r="H88" s="4"/>
      <c r="I88" s="4" t="str">
        <f t="shared" si="8"/>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255</v>
      </c>
      <c r="U88" s="4" t="str">
        <f>IF(LEN(Table2[[#This Row],[!Name]]) &gt; 0, Table2[[#This Row],[!Name]], "rg:None")</f>
        <v>status</v>
      </c>
      <c r="V88" s="4" t="str">
        <f>IF(LEN(Table2[[#This Row],[!Description]]) &gt; 0, Table2[[#This Row],[!Description]], "rg:None")</f>
        <v>The current status of the equipment in a UI-controlled string. Initial values are Pending, Approved and Archived, but other values may be added.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239</v>
      </c>
      <c r="B89" s="23" t="s">
        <v>12</v>
      </c>
      <c r="C89" s="3"/>
      <c r="D89" s="23" t="s">
        <v>245</v>
      </c>
      <c r="E89" s="59" t="s">
        <v>341</v>
      </c>
      <c r="F89" s="3" t="s">
        <v>5</v>
      </c>
      <c r="G89" s="4"/>
      <c r="H89" s="4"/>
      <c r="I89" s="4" t="str">
        <f t="shared" si="8"/>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239</v>
      </c>
      <c r="B90" s="23" t="s">
        <v>12</v>
      </c>
      <c r="C90" s="3"/>
      <c r="D90" s="23" t="s">
        <v>246</v>
      </c>
      <c r="E90" s="59" t="s">
        <v>340</v>
      </c>
      <c r="F90" s="3" t="s">
        <v>5</v>
      </c>
      <c r="G90" s="4"/>
      <c r="H90" s="4"/>
      <c r="I90" s="4" t="str">
        <f t="shared" si="8"/>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receivedDate</v>
      </c>
      <c r="V90" s="4" t="str">
        <f>IF(LEN(Table2[[#This Row],[!Description]]) &gt; 0, Table2[[#This Row],[!Description]], "rg:None")</f>
        <v>The date the piece of equipment was first received and recorded in HETS.</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239</v>
      </c>
      <c r="B91" s="3" t="s">
        <v>7</v>
      </c>
      <c r="C91" s="3">
        <v>255</v>
      </c>
      <c r="D91" s="22" t="s">
        <v>228</v>
      </c>
      <c r="E91" s="59" t="s">
        <v>342</v>
      </c>
      <c r="F91" s="3" t="s">
        <v>5</v>
      </c>
      <c r="G91" s="4"/>
      <c r="H91" s="4"/>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255</v>
      </c>
      <c r="U91" s="4" t="str">
        <f>IF(LEN(Table2[[#This Row],[!Name]]) &gt; 0, Table2[[#This Row],[!Name]], "rg:None")</f>
        <v>addressLine1</v>
      </c>
      <c r="V91" s="4" t="str">
        <f>IF(LEN(Table2[[#This Row],[!Description]]) &gt; 0, Table2[[#This Row],[!Description]], "rg:None")</f>
        <v>TO BE REMOVED - display primary contact of owner</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x14ac:dyDescent="0.3">
      <c r="A92" s="23" t="s">
        <v>239</v>
      </c>
      <c r="B92" s="3" t="s">
        <v>7</v>
      </c>
      <c r="C92" s="3">
        <v>255</v>
      </c>
      <c r="D92" s="23" t="s">
        <v>229</v>
      </c>
      <c r="E92" s="59" t="s">
        <v>342</v>
      </c>
      <c r="F92" s="3" t="s">
        <v>5</v>
      </c>
      <c r="G92" s="4"/>
      <c r="H92" s="4"/>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255</v>
      </c>
      <c r="U92" s="4" t="str">
        <f>IF(LEN(Table2[[#This Row],[!Name]]) &gt; 0, Table2[[#This Row],[!Name]], "rg:None")</f>
        <v>addressLine2</v>
      </c>
      <c r="V92" s="4" t="str">
        <f>IF(LEN(Table2[[#This Row],[!Description]]) &gt; 0, Table2[[#This Row],[!Description]], "rg:None")</f>
        <v>TO BE REMOVED - display primary contact of owner</v>
      </c>
      <c r="W92" s="4" t="str">
        <f>IF(LEN(Table2[[#This Row],[!FK]])&gt;0,Table2[[#This Row],[!FK]],"rg:None")</f>
        <v>rg:None</v>
      </c>
      <c r="X92" s="15" t="str">
        <f>IF(LEN(concatif2(A:A,Table2[[#This Row],[!Table]],G:G,"Y",D:D,",")) &gt; 0,"rg:[ { 'req' : '"&amp;concatif2(A:A,Table2[[#This Row],[!Table]],G:G,"Y",D:D,"' }, { 'req': '")&amp;"'} ]","rg:[]")</f>
        <v>rg:[ { 'req' : 'id'} ]</v>
      </c>
      <c r="Y92" s="4" t="str">
        <f>IF(LEN(Table2[[#This Row],[!Unique]])&gt;0,"rg:True","rg:None")</f>
        <v>rg:None</v>
      </c>
    </row>
    <row r="93" spans="1:25" x14ac:dyDescent="0.3">
      <c r="A93" s="23" t="s">
        <v>239</v>
      </c>
      <c r="B93" s="3" t="s">
        <v>7</v>
      </c>
      <c r="C93" s="3">
        <v>255</v>
      </c>
      <c r="D93" s="23" t="s">
        <v>247</v>
      </c>
      <c r="E93" s="59" t="s">
        <v>342</v>
      </c>
      <c r="F93" s="3" t="s">
        <v>5</v>
      </c>
      <c r="G93" s="4"/>
      <c r="H93" s="4"/>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255</v>
      </c>
      <c r="U93" s="4" t="str">
        <f>IF(LEN(Table2[[#This Row],[!Name]]) &gt; 0, Table2[[#This Row],[!Name]], "rg:None")</f>
        <v>addressLine3</v>
      </c>
      <c r="V93" s="4" t="str">
        <f>IF(LEN(Table2[[#This Row],[!Description]]) &gt; 0, Table2[[#This Row],[!Description]], "rg:None")</f>
        <v>TO BE REMOVED - display primary contact of owner</v>
      </c>
      <c r="W93" s="4" t="str">
        <f>IF(LEN(Table2[[#This Row],[!FK]])&gt;0,Table2[[#This Row],[!FK]],"rg:None")</f>
        <v>rg:None</v>
      </c>
      <c r="X93" s="15" t="str">
        <f>IF(LEN(concatif2(A:A,Table2[[#This Row],[!Table]],G:G,"Y",D:D,",")) &gt; 0,"rg:[ { 'req' : '"&amp;concatif2(A:A,Table2[[#This Row],[!Table]],G:G,"Y",D:D,"' }, { 'req': '")&amp;"'} ]","rg:[]")</f>
        <v>rg:[ { 'req' : 'id'} ]</v>
      </c>
      <c r="Y93" s="4" t="str">
        <f>IF(LEN(Table2[[#This Row],[!Unique]])&gt;0,"rg:True","rg:None")</f>
        <v>rg:None</v>
      </c>
    </row>
    <row r="94" spans="1:25" x14ac:dyDescent="0.3">
      <c r="A94" s="23" t="s">
        <v>239</v>
      </c>
      <c r="B94" s="3" t="s">
        <v>7</v>
      </c>
      <c r="C94" s="3">
        <v>255</v>
      </c>
      <c r="D94" s="23" t="s">
        <v>248</v>
      </c>
      <c r="E94" s="59" t="s">
        <v>342</v>
      </c>
      <c r="F94" s="3" t="s">
        <v>5</v>
      </c>
      <c r="G94" s="4"/>
      <c r="H94" s="4"/>
      <c r="I94" s="4" t="str">
        <f t="shared" ref="I94:I123" si="9">IF(LEN(A94) &gt; 0,"Defs","-")</f>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255</v>
      </c>
      <c r="U94" s="4" t="str">
        <f>IF(LEN(Table2[[#This Row],[!Name]]) &gt; 0, Table2[[#This Row],[!Name]], "rg:None")</f>
        <v>addressLine4</v>
      </c>
      <c r="V94" s="4" t="str">
        <f>IF(LEN(Table2[[#This Row],[!Description]]) &gt; 0, Table2[[#This Row],[!Description]], "rg:None")</f>
        <v>TO BE REMOVED - display primary contact of owner</v>
      </c>
      <c r="W94" s="4" t="str">
        <f>IF(LEN(Table2[[#This Row],[!FK]])&gt;0,Table2[[#This Row],[!FK]],"rg:None")</f>
        <v>rg:None</v>
      </c>
      <c r="X94" s="15" t="str">
        <f>IF(LEN(concatif2(A:A,Table2[[#This Row],[!Table]],G:G,"Y",D:D,",")) &gt; 0,"rg:[ { 'req' : '"&amp;concatif2(A:A,Table2[[#This Row],[!Table]],G:G,"Y",D:D,"' }, { 'req': '")&amp;"'} ]","rg:[]")</f>
        <v>rg:[ { 'req' : 'id'} ]</v>
      </c>
      <c r="Y94" s="4" t="str">
        <f>IF(LEN(Table2[[#This Row],[!Unique]])&gt;0,"rg:True","rg:None")</f>
        <v>rg:None</v>
      </c>
    </row>
    <row r="95" spans="1:25" x14ac:dyDescent="0.3">
      <c r="A95" s="23" t="s">
        <v>239</v>
      </c>
      <c r="B95" s="3" t="s">
        <v>7</v>
      </c>
      <c r="C95" s="3">
        <v>255</v>
      </c>
      <c r="D95" s="3" t="s">
        <v>21</v>
      </c>
      <c r="E95" s="59" t="s">
        <v>342</v>
      </c>
      <c r="F95" s="3" t="s">
        <v>5</v>
      </c>
      <c r="G95" s="4"/>
      <c r="H95" s="4"/>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255</v>
      </c>
      <c r="U95" s="4" t="str">
        <f>IF(LEN(Table2[[#This Row],[!Name]]) &gt; 0, Table2[[#This Row],[!Name]], "rg:None")</f>
        <v>city</v>
      </c>
      <c r="V95" s="4" t="str">
        <f>IF(LEN(Table2[[#This Row],[!Description]]) &gt; 0, Table2[[#This Row],[!Description]], "rg:None")</f>
        <v>TO BE REMOVED - display primary contact of owner</v>
      </c>
      <c r="W95" s="4" t="str">
        <f>IF(LEN(Table2[[#This Row],[!FK]])&gt;0,Table2[[#This Row],[!FK]],"rg:None")</f>
        <v>rg:None</v>
      </c>
      <c r="X95" s="15" t="str">
        <f>IF(LEN(concatif2(A:A,Table2[[#This Row],[!Table]],G:G,"Y",D:D,",")) &gt; 0,"rg:[ { 'req' : '"&amp;concatif2(A:A,Table2[[#This Row],[!Table]],G:G,"Y",D:D,"' }, { 'req': '")&amp;"'} ]","rg:[]")</f>
        <v>rg:[ { 'req' : 'id'} ]</v>
      </c>
      <c r="Y95" s="4" t="str">
        <f>IF(LEN(Table2[[#This Row],[!Unique]])&gt;0,"rg:True","rg:None")</f>
        <v>rg:None</v>
      </c>
    </row>
    <row r="96" spans="1:25" x14ac:dyDescent="0.3">
      <c r="A96" s="23" t="s">
        <v>239</v>
      </c>
      <c r="B96" s="3" t="s">
        <v>7</v>
      </c>
      <c r="C96" s="3">
        <v>255</v>
      </c>
      <c r="D96" s="3" t="s">
        <v>153</v>
      </c>
      <c r="E96" s="59" t="s">
        <v>342</v>
      </c>
      <c r="F96" s="3" t="s">
        <v>5</v>
      </c>
      <c r="G96" s="4"/>
      <c r="H96" s="4"/>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255</v>
      </c>
      <c r="U96" s="4" t="str">
        <f>IF(LEN(Table2[[#This Row],[!Name]]) &gt; 0, Table2[[#This Row],[!Name]], "rg:None")</f>
        <v>postal</v>
      </c>
      <c r="V96" s="4" t="str">
        <f>IF(LEN(Table2[[#This Row],[!Description]]) &gt; 0, Table2[[#This Row],[!Description]], "rg:None")</f>
        <v>TO BE REMOVED - display primary contact of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23" t="s">
        <v>239</v>
      </c>
      <c r="B97" s="3" t="s">
        <v>7</v>
      </c>
      <c r="C97" s="3">
        <v>255</v>
      </c>
      <c r="D97" s="3" t="s">
        <v>154</v>
      </c>
      <c r="E97" s="59" t="s">
        <v>343</v>
      </c>
      <c r="F97" s="3" t="s">
        <v>5</v>
      </c>
      <c r="G97" s="4"/>
      <c r="H97" s="4"/>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comment</v>
      </c>
      <c r="V97" s="4" t="str">
        <f>IF(LEN(Table2[[#This Row],[!Description]]) &gt; 0, Table2[[#This Row],[!Description]], "rg:None")</f>
        <v>TO BE REMOVED - REPLACE WITH NOTES</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239</v>
      </c>
      <c r="B98" s="3" t="s">
        <v>119</v>
      </c>
      <c r="C98" s="3"/>
      <c r="D98" s="3" t="s">
        <v>155</v>
      </c>
      <c r="E98" s="59" t="s">
        <v>344</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cycleHrsWrk</v>
      </c>
      <c r="V98" s="4" t="str">
        <f>IF(LEN(Table2[[#This Row],[!Description]]) &gt; 0, Table2[[#This Row],[!Description]], "rg:None")</f>
        <v>TO BE REMOVED - CALCULATED FROM TIME RECORDS</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23" t="s">
        <v>239</v>
      </c>
      <c r="B99" s="3" t="s">
        <v>7</v>
      </c>
      <c r="C99" s="3">
        <v>255</v>
      </c>
      <c r="D99" s="3" t="s">
        <v>156</v>
      </c>
      <c r="E99" s="59" t="s">
        <v>345</v>
      </c>
      <c r="F99" s="3" t="s">
        <v>5</v>
      </c>
      <c r="G99" s="4"/>
      <c r="H99" s="4"/>
      <c r="I99" s="4" t="str">
        <f t="shared" si="9"/>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frozenOut</v>
      </c>
      <c r="V99" s="4" t="str">
        <f>IF(LEN(Table2[[#This Row],[!Description]]) &gt; 0, Table2[[#This Row],[!Description]], "rg:None")</f>
        <v>TO BE REMOVED - NO LONGER USED</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23" t="s">
        <v>239</v>
      </c>
      <c r="B100" s="48" t="s">
        <v>12</v>
      </c>
      <c r="C100" s="3"/>
      <c r="D100" s="48" t="s">
        <v>298</v>
      </c>
      <c r="E100" s="59" t="s">
        <v>346</v>
      </c>
      <c r="F100" s="3" t="s">
        <v>5</v>
      </c>
      <c r="G100" s="4"/>
      <c r="H100" s="4"/>
      <c r="I100" s="4" t="str">
        <f t="shared" si="9"/>
        <v>Defs</v>
      </c>
      <c r="J100" s="4" t="str">
        <f>IF(Table2[[#This Row],[!Type]]=J$1, J$1,"rg:None")</f>
        <v>rg:None</v>
      </c>
      <c r="K100" s="4" t="str">
        <f>IF(Table2[[#This Row],[!Type]]=K$1, K$1,"rg:None")</f>
        <v>rg:None</v>
      </c>
      <c r="L100" s="4" t="str">
        <f>IF(Table2[[#This Row],[!Type]]=L$1, L$1,"rg:None")</f>
        <v>datetime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lastVerifiedDate</v>
      </c>
      <c r="V100" s="4" t="str">
        <f>IF(LEN(Table2[[#This Row],[!Description]]) &gt; 0, Table2[[#This Row],[!Description]], "rg:None")</f>
        <v>The date the equipment was last verified by the HETS Clerk as being still in service in the Local Area and available for the HETS Programme.</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23" t="s">
        <v>239</v>
      </c>
      <c r="B101" s="3" t="s">
        <v>7</v>
      </c>
      <c r="C101" s="3">
        <v>255</v>
      </c>
      <c r="D101" s="57" t="s">
        <v>347</v>
      </c>
      <c r="E101" s="59" t="s">
        <v>348</v>
      </c>
      <c r="F101" s="3" t="s">
        <v>5</v>
      </c>
      <c r="G101" s="4"/>
      <c r="H101" s="4"/>
      <c r="I101" s="4" t="str">
        <f t="shared" si="9"/>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255</v>
      </c>
      <c r="U101" s="4" t="str">
        <f>IF(LEN(Table2[[#This Row],[!Name]]) &gt; 0, Table2[[#This Row],[!Name]], "rg:None")</f>
        <v>licencePlate</v>
      </c>
      <c r="V101" s="4" t="str">
        <f>IF(LEN(Table2[[#This Row],[!Description]]) &gt; 0, Table2[[#This Row],[!Description]], "rg:None")</f>
        <v>The licence plate (if any) of the piece of equipment, as entered by the HETS Clerk.</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23" t="s">
        <v>239</v>
      </c>
      <c r="B102" s="3" t="s">
        <v>7</v>
      </c>
      <c r="C102" s="3">
        <v>255</v>
      </c>
      <c r="D102" s="3" t="s">
        <v>157</v>
      </c>
      <c r="E102" s="59" t="s">
        <v>349</v>
      </c>
      <c r="F102" s="3" t="s">
        <v>5</v>
      </c>
      <c r="G102" s="4"/>
      <c r="H102" s="4"/>
      <c r="I102" s="4" t="str">
        <f t="shared" si="9"/>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make</v>
      </c>
      <c r="V102" s="4" t="str">
        <f>IF(LEN(Table2[[#This Row],[!Description]]) &gt; 0, Table2[[#This Row],[!Description]], "rg:None")</f>
        <v>The make of the piece of equipment, as provided by the Equipment Owner.</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23" t="s">
        <v>239</v>
      </c>
      <c r="B103" s="3" t="s">
        <v>7</v>
      </c>
      <c r="C103" s="3">
        <v>255</v>
      </c>
      <c r="D103" s="3" t="s">
        <v>158</v>
      </c>
      <c r="E103" s="59" t="s">
        <v>350</v>
      </c>
      <c r="F103" s="3" t="s">
        <v>5</v>
      </c>
      <c r="G103" s="4"/>
      <c r="H103" s="4"/>
      <c r="I103" s="4" t="str">
        <f t="shared" si="9"/>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model</v>
      </c>
      <c r="V103" s="4" t="str">
        <f>IF(LEN(Table2[[#This Row],[!Description]]) &gt; 0, Table2[[#This Row],[!Description]], "rg:None")</f>
        <v>The model of the piece of equipment, as provided by the Equipment Owner.</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23" t="s">
        <v>239</v>
      </c>
      <c r="B104" s="3" t="s">
        <v>7</v>
      </c>
      <c r="C104" s="3">
        <v>255</v>
      </c>
      <c r="D104" s="3" t="s">
        <v>159</v>
      </c>
      <c r="E104" s="59" t="s">
        <v>351</v>
      </c>
      <c r="F104" s="3" t="s">
        <v>5</v>
      </c>
      <c r="G104" s="4"/>
      <c r="H104" s="4"/>
      <c r="I104" s="4" t="str">
        <f t="shared" si="9"/>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year</v>
      </c>
      <c r="V104" s="4" t="str">
        <f>IF(LEN(Table2[[#This Row],[!Description]]) &gt; 0, Table2[[#This Row],[!Description]], "rg:None")</f>
        <v>The model year of the piece of equipment, as provided by the Equipment Owner.</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23" t="s">
        <v>239</v>
      </c>
      <c r="B105" s="3" t="s">
        <v>7</v>
      </c>
      <c r="C105" s="3">
        <v>255</v>
      </c>
      <c r="D105" s="3" t="s">
        <v>20</v>
      </c>
      <c r="E105" s="59" t="s">
        <v>352</v>
      </c>
      <c r="F105" s="3" t="s">
        <v>5</v>
      </c>
      <c r="G105" s="4"/>
      <c r="H105" s="4"/>
      <c r="I105" s="4" t="str">
        <f t="shared" si="9"/>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type</v>
      </c>
      <c r="V105" s="4" t="str">
        <f>IF(LEN(Table2[[#This Row],[!Description]]) &gt; 0, Table2[[#This Row],[!Description]], "rg:None")</f>
        <v>TO BE REVIEWED - WHAT IS THIS?</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23" t="s">
        <v>239</v>
      </c>
      <c r="B106" s="3" t="s">
        <v>7</v>
      </c>
      <c r="C106" s="3">
        <v>255</v>
      </c>
      <c r="D106" s="3" t="s">
        <v>161</v>
      </c>
      <c r="E106" s="59" t="s">
        <v>354</v>
      </c>
      <c r="F106" s="3" t="s">
        <v>5</v>
      </c>
      <c r="G106" s="4"/>
      <c r="H106" s="4"/>
      <c r="I106" s="4" t="str">
        <f t="shared" si="9"/>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operator</v>
      </c>
      <c r="V106" s="4" t="str">
        <f>IF(LEN(Table2[[#This Row],[!Description]]) &gt; 0, Table2[[#This Row],[!Description]], "rg:None")</f>
        <v>TO BE REVIEWED - IS THIS NEEDED?</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23" t="s">
        <v>239</v>
      </c>
      <c r="B107" s="3" t="s">
        <v>119</v>
      </c>
      <c r="C107" s="3"/>
      <c r="D107" s="3" t="s">
        <v>162</v>
      </c>
      <c r="E107" s="59" t="s">
        <v>354</v>
      </c>
      <c r="F107" s="3" t="s">
        <v>5</v>
      </c>
      <c r="G107" s="4"/>
      <c r="H107" s="4"/>
      <c r="I107" s="4" t="str">
        <f t="shared" si="9"/>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float</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payRate</v>
      </c>
      <c r="V107" s="4" t="str">
        <f>IF(LEN(Table2[[#This Row],[!Description]]) &gt; 0, Table2[[#This Row],[!Description]], "rg:None")</f>
        <v>TO BE REVIEWED - IS THIS NEEDED?</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23" t="s">
        <v>239</v>
      </c>
      <c r="B108" s="3" t="s">
        <v>7</v>
      </c>
      <c r="C108" s="3">
        <v>255</v>
      </c>
      <c r="D108" s="3" t="s">
        <v>164</v>
      </c>
      <c r="E108" s="59" t="s">
        <v>354</v>
      </c>
      <c r="F108" s="3" t="s">
        <v>5</v>
      </c>
      <c r="G108" s="4"/>
      <c r="H108" s="4"/>
      <c r="I108" s="4" t="str">
        <f t="shared" si="9"/>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255</v>
      </c>
      <c r="U108" s="4" t="str">
        <f>IF(LEN(Table2[[#This Row],[!Name]]) &gt; 0, Table2[[#This Row],[!Name]], "rg:None")</f>
        <v>refuseRate</v>
      </c>
      <c r="V108" s="4" t="str">
        <f>IF(LEN(Table2[[#This Row],[!Description]]) &gt; 0, Table2[[#This Row],[!Description]], "rg:None")</f>
        <v>TO BE REVIEWED - IS THIS NEEDED?</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23" t="s">
        <v>239</v>
      </c>
      <c r="B109" s="3" t="s">
        <v>7</v>
      </c>
      <c r="C109" s="3">
        <v>255</v>
      </c>
      <c r="D109" s="3" t="s">
        <v>166</v>
      </c>
      <c r="E109" s="59" t="s">
        <v>355</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255</v>
      </c>
      <c r="U109" s="4" t="str">
        <f>IF(LEN(Table2[[#This Row],[!Name]]) &gt; 0, Table2[[#This Row],[!Name]], "rg:None")</f>
        <v>serialNum</v>
      </c>
      <c r="V109"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23" t="s">
        <v>239</v>
      </c>
      <c r="B110" s="3" t="s">
        <v>7</v>
      </c>
      <c r="C110" s="3">
        <v>255</v>
      </c>
      <c r="D110" s="3" t="s">
        <v>167</v>
      </c>
      <c r="E110" s="59" t="s">
        <v>356</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255</v>
      </c>
      <c r="U110" s="4" t="str">
        <f>IF(LEN(Table2[[#This Row],[!Name]]) &gt; 0, Table2[[#This Row],[!Name]], "rg:None")</f>
        <v>size</v>
      </c>
      <c r="V110" s="4" t="str">
        <f>IF(LEN(Table2[[#This Row],[!Description]]) &gt; 0, Table2[[#This Row],[!Description]], "rg:None")</f>
        <v>The size of the piece of equipment, as provided by the Equipment Owner.</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23" t="s">
        <v>239</v>
      </c>
      <c r="B111" s="23" t="s">
        <v>12</v>
      </c>
      <c r="C111" s="3"/>
      <c r="D111" s="23" t="s">
        <v>249</v>
      </c>
      <c r="E111" s="59" t="s">
        <v>357</v>
      </c>
      <c r="F111" s="3" t="s">
        <v>5</v>
      </c>
      <c r="G111" s="4"/>
      <c r="H111" s="4"/>
      <c r="I111" s="4" t="str">
        <f t="shared" si="9"/>
        <v>Defs</v>
      </c>
      <c r="J111" s="4" t="str">
        <f>IF(Table2[[#This Row],[!Type]]=J$1, J$1,"rg:None")</f>
        <v>rg:None</v>
      </c>
      <c r="K111" s="4" t="str">
        <f>IF(Table2[[#This Row],[!Type]]=K$1, K$1,"rg:None")</f>
        <v>rg:None</v>
      </c>
      <c r="L111" s="4" t="str">
        <f>IF(Table2[[#This Row],[!Type]]=L$1, L$1,"rg:None")</f>
        <v>datetime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toDate</v>
      </c>
      <c r="V111" s="4" t="str">
        <f>IF(LEN(Table2[[#This Row],[!Description]]) &gt; 0, Table2[[#This Row],[!Description]], "rg:None")</f>
        <v>WHAT IS THIS?</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23" t="s">
        <v>239</v>
      </c>
      <c r="B112" s="3" t="s">
        <v>7</v>
      </c>
      <c r="C112" s="3">
        <v>255</v>
      </c>
      <c r="D112" s="3" t="s">
        <v>168</v>
      </c>
      <c r="E112" s="59" t="s">
        <v>358</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255</v>
      </c>
      <c r="U112" s="4" t="str">
        <f>IF(LEN(Table2[[#This Row],[!Name]]) &gt; 0, Table2[[#This Row],[!Name]], "rg:None")</f>
        <v>working</v>
      </c>
      <c r="V112" s="4" t="str">
        <f>IF(LEN(Table2[[#This Row],[!Description]]) &gt; 0, Table2[[#This Row],[!Description]], "rg:None")</f>
        <v>TO BE REMOVED - CALCULATED FROM RENTAL AGREEMENT RECORDS</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23" t="s">
        <v>239</v>
      </c>
      <c r="B113" s="3" t="s">
        <v>7</v>
      </c>
      <c r="C113" s="3">
        <v>255</v>
      </c>
      <c r="D113" s="3" t="s">
        <v>169</v>
      </c>
      <c r="E113" s="59" t="s">
        <v>359</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255</v>
      </c>
      <c r="U113" s="4" t="str">
        <f>IF(LEN(Table2[[#This Row],[!Name]]) &gt; 0, Table2[[#This Row],[!Name]], "rg:None")</f>
        <v>yearEndReg</v>
      </c>
      <c r="V113" s="4" t="str">
        <f>IF(LEN(Table2[[#This Row],[!Description]]) &gt; 0, Table2[[#This Row],[!Description]], "rg:None")</f>
        <v>TO BE REMOVED - BASED ON OLD METHOD OF TRACKING ACTIVE EQUIPMENT</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23" t="s">
        <v>239</v>
      </c>
      <c r="B114" s="3" t="s">
        <v>7</v>
      </c>
      <c r="C114" s="3">
        <v>255</v>
      </c>
      <c r="D114" s="3" t="s">
        <v>170</v>
      </c>
      <c r="E114" s="59" t="s">
        <v>360</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255</v>
      </c>
      <c r="U114" s="4" t="str">
        <f>IF(LEN(Table2[[#This Row],[!Name]]) &gt; 0, Table2[[#This Row],[!Name]], "rg:None")</f>
        <v>prevRegArea</v>
      </c>
      <c r="V114" s="4" t="str">
        <f>IF(LEN(Table2[[#This Row],[!Description]]) &gt; 0, Table2[[#This Row],[!Description]], "rg:None")</f>
        <v>TO BE REMOVED - AVAILABLE IN THE HISTORY OF THE EQUIPMENT</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x14ac:dyDescent="0.3">
      <c r="A115" s="23" t="s">
        <v>239</v>
      </c>
      <c r="B115" s="67" t="s">
        <v>119</v>
      </c>
      <c r="C115" s="3"/>
      <c r="D115" s="23" t="s">
        <v>253</v>
      </c>
      <c r="E115" s="66" t="s">
        <v>361</v>
      </c>
      <c r="F115" s="3" t="s">
        <v>5</v>
      </c>
      <c r="G115" s="4"/>
      <c r="H115" s="4"/>
      <c r="I115" s="4" t="str">
        <f>IF(LEN(A115) &gt; 0,"Defs","-")</f>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blockNumber</v>
      </c>
      <c r="V115" s="4" t="str">
        <f>IF(LEN(Table2[[#This Row],[!Description]]) &gt; 0, Table2[[#This Row],[!Description]], "rg:None")</f>
        <v>The current block number for the piece of equipment as calculated by the Seniority Algorthm for this equipment type in the local area. As currently defined y the business  - 1, 2 or Open</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23" t="s">
        <v>239</v>
      </c>
      <c r="B116" s="67" t="s">
        <v>119</v>
      </c>
      <c r="C116" s="3"/>
      <c r="D116" s="3" t="s">
        <v>165</v>
      </c>
      <c r="E116" s="66" t="s">
        <v>362</v>
      </c>
      <c r="F116" s="3" t="s">
        <v>5</v>
      </c>
      <c r="G116" s="4"/>
      <c r="H116" s="4"/>
      <c r="I116" s="4" t="str">
        <f>IF(LEN(A116) &gt; 0,"Defs","-")</f>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v>
      </c>
      <c r="V116"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23" t="s">
        <v>239</v>
      </c>
      <c r="B117" s="3" t="s">
        <v>119</v>
      </c>
      <c r="C117" s="3"/>
      <c r="D117" s="3" t="s">
        <v>160</v>
      </c>
      <c r="E117" s="59" t="s">
        <v>353</v>
      </c>
      <c r="F117" s="3" t="s">
        <v>5</v>
      </c>
      <c r="G117" s="4"/>
      <c r="H117" s="4"/>
      <c r="I117" s="4" t="str">
        <f>IF(LEN(A117) &gt; 0,"Defs","-")</f>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numYears</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23" t="s">
        <v>239</v>
      </c>
      <c r="B118" s="3" t="s">
        <v>119</v>
      </c>
      <c r="C118" s="3"/>
      <c r="D118" s="3" t="s">
        <v>171</v>
      </c>
      <c r="E118" s="69" t="s">
        <v>442</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YTD</v>
      </c>
      <c r="V118" s="4" t="str">
        <f>IF(LEN(Table2[[#This Row],[!Description]]) &gt; 0, Table2[[#This Row],[!Description]], "rg:None")</f>
        <v>TO BE REMOVED - Sum of Hours in time cards from the current fiscal year.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23" t="s">
        <v>239</v>
      </c>
      <c r="B119" s="3" t="s">
        <v>119</v>
      </c>
      <c r="C119" s="3"/>
      <c r="D119" s="67" t="s">
        <v>363</v>
      </c>
      <c r="E119" s="66" t="s">
        <v>364</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serviceHoursLastYear</v>
      </c>
      <c r="V119" s="4" t="str">
        <f>IF(LEN(Table2[[#This Row],[!Description]]) &gt; 0, Table2[[#This Row],[!Description]], "rg:None")</f>
        <v>Number of hours of service by this piece of equipment in the previous fiscal year</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23" t="s">
        <v>239</v>
      </c>
      <c r="B120" s="3" t="s">
        <v>119</v>
      </c>
      <c r="C120" s="3"/>
      <c r="D120" s="67" t="s">
        <v>365</v>
      </c>
      <c r="E120" s="66" t="s">
        <v>366</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serviceHoursTwoYearsAgo</v>
      </c>
      <c r="V120" s="4" t="str">
        <f>IF(LEN(Table2[[#This Row],[!Description]]) &gt; 0, Table2[[#This Row],[!Description]], "rg:None")</f>
        <v>Number of hours of service by this piece of equipment in the fiscal year before the last one - e.g. if current year is FY2018 then hours in FY2016</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x14ac:dyDescent="0.3">
      <c r="A121" s="23" t="s">
        <v>239</v>
      </c>
      <c r="B121" s="3" t="s">
        <v>119</v>
      </c>
      <c r="C121" s="3"/>
      <c r="D121" s="67" t="s">
        <v>368</v>
      </c>
      <c r="E121" s="66" t="s">
        <v>367</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float</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serviceHoursThreeYearsAgo</v>
      </c>
      <c r="V121" s="4" t="str">
        <f>IF(LEN(Table2[[#This Row],[!Description]]) &gt; 0, Table2[[#This Row],[!Description]], "rg:None")</f>
        <v>Number of hours of service by this piece of equipment in the fiscal year three years ago - e.g. if current year is FY2018 then hours in FY2015</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23" t="s">
        <v>239</v>
      </c>
      <c r="B122" s="3" t="s">
        <v>7</v>
      </c>
      <c r="C122" s="3">
        <v>255</v>
      </c>
      <c r="D122" s="67" t="s">
        <v>369</v>
      </c>
      <c r="E122" s="66" t="s">
        <v>370</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255</v>
      </c>
      <c r="U122" s="4" t="str">
        <f>IF(LEN(Table2[[#This Row],[!Name]]) &gt; 0, Table2[[#This Row],[!Name]], "rg:None")</f>
        <v>archiveCode</v>
      </c>
      <c r="V122" s="4" t="str">
        <f>IF(LEN(Table2[[#This Row],[!Description]]) &gt; 0, Table2[[#This Row],[!Description]], "rg:None")</f>
        <v>A reason code indicating why a piece of equipment has been archived.</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x14ac:dyDescent="0.3">
      <c r="A123" s="23" t="s">
        <v>239</v>
      </c>
      <c r="B123" s="3" t="s">
        <v>7</v>
      </c>
      <c r="C123" s="3">
        <v>255</v>
      </c>
      <c r="D123" s="3" t="s">
        <v>172</v>
      </c>
      <c r="E123" s="66" t="s">
        <v>371</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255</v>
      </c>
      <c r="U123" s="4" t="str">
        <f>IF(LEN(Table2[[#This Row],[!Name]]) &gt; 0, Table2[[#This Row],[!Name]], "rg:None")</f>
        <v>archiveReason</v>
      </c>
      <c r="V123" s="4" t="str">
        <f>IF(LEN(Table2[[#This Row],[!Description]]) &gt; 0, Table2[[#This Row],[!Description]], "rg:None")</f>
        <v>An optional comment about why this piece of equipment has been archived.</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23" t="s">
        <v>239</v>
      </c>
      <c r="B124" s="23" t="s">
        <v>12</v>
      </c>
      <c r="C124" s="3"/>
      <c r="D124" s="23" t="s">
        <v>250</v>
      </c>
      <c r="E124" s="66" t="s">
        <v>372</v>
      </c>
      <c r="F124" s="3" t="s">
        <v>5</v>
      </c>
      <c r="G124" s="4"/>
      <c r="H124" s="4"/>
      <c r="I124" s="4" t="str">
        <f t="shared" ref="I124:I144" si="10">IF(LEN(A124) &gt; 0,"Defs","-")</f>
        <v>Defs</v>
      </c>
      <c r="J124" s="4" t="str">
        <f>IF(Table2[[#This Row],[!Type]]=J$1, J$1,"rg:None")</f>
        <v>rg:None</v>
      </c>
      <c r="K124" s="4" t="str">
        <f>IF(Table2[[#This Row],[!Type]]=K$1, K$1,"rg:None")</f>
        <v>rg:None</v>
      </c>
      <c r="L124" s="4" t="str">
        <f>IF(Table2[[#This Row],[!Type]]=L$1, L$1,"rg:None")</f>
        <v>datetime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archiveDate</v>
      </c>
      <c r="V124" s="4" t="str">
        <f>IF(LEN(Table2[[#This Row],[!Description]]) &gt; 0, Table2[[#This Row],[!Description]], "rg:None")</f>
        <v>The date on which a user most recenly marked this piece of equipment as archived.</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x14ac:dyDescent="0.3">
      <c r="A125" s="23" t="s">
        <v>239</v>
      </c>
      <c r="B125" s="3" t="s">
        <v>119</v>
      </c>
      <c r="C125" s="3"/>
      <c r="D125" s="3" t="s">
        <v>173</v>
      </c>
      <c r="E125" s="66" t="s">
        <v>373</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float</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draftBlockNum</v>
      </c>
      <c r="V125" s="4" t="str">
        <f>IF(LEN(Table2[[#This Row],[!Description]]) &gt; 0, Table2[[#This Row],[!Description]], "rg:None")</f>
        <v>TO BE REMOVED</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x14ac:dyDescent="0.3">
      <c r="A126" s="23" t="s">
        <v>239</v>
      </c>
      <c r="B126" s="67" t="s">
        <v>8</v>
      </c>
      <c r="C126" s="3"/>
      <c r="D126" s="67" t="s">
        <v>374</v>
      </c>
      <c r="E126" s="66" t="s">
        <v>375</v>
      </c>
      <c r="F126" s="3" t="s">
        <v>5</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ref</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dumpTruck</v>
      </c>
      <c r="V126" s="4" t="str">
        <f>IF(LEN(Table2[[#This Row],[!Description]]) &gt; 0, Table2[[#This Row],[!Description]], "rg:None")</f>
        <v>A link to a dump truck set if this piece of equipment is an equipment type flagged as a dump truck.</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x14ac:dyDescent="0.3">
      <c r="A127" s="23" t="s">
        <v>239</v>
      </c>
      <c r="B127" s="24" t="s">
        <v>19</v>
      </c>
      <c r="C127" s="19"/>
      <c r="D127" s="24" t="s">
        <v>254</v>
      </c>
      <c r="E127" s="60"/>
      <c r="F127" s="23" t="s">
        <v>242</v>
      </c>
      <c r="G127" s="20"/>
      <c r="H127" s="20"/>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equipmentAttachments</v>
      </c>
      <c r="V127" s="4" t="str">
        <f>IF(LEN(Table2[[#This Row],[!Description]]) &gt; 0, Table2[[#This Row],[!Description]], "rg:None")</f>
        <v>rg:None</v>
      </c>
      <c r="W127" s="4" t="str">
        <f>IF(LEN(Table2[[#This Row],[!FK]])&gt;0,Table2[[#This Row],[!FK]],"rg:None")</f>
        <v>EquipmentAttachment</v>
      </c>
      <c r="X127" s="15" t="str">
        <f>IF(LEN(concatif2(A:A,Table2[[#This Row],[!Table]],G:G,"Y",D:D,",")) &gt; 0,"rg:[ { 'req' : '"&amp;concatif2(A:A,Table2[[#This Row],[!Table]],G:G,"Y",D:D,"' }, { 'req': '")&amp;"'} ]","rg:[]")</f>
        <v>rg:[ { 'req' : 'id'} ]</v>
      </c>
      <c r="Y127" s="4" t="str">
        <f>IF(LEN(Table2[[#This Row],[!Unique]])&gt;0,"rg:True","rg:None")</f>
        <v>rg:None</v>
      </c>
    </row>
    <row r="128" spans="1:25" x14ac:dyDescent="0.3">
      <c r="A128" s="23" t="s">
        <v>239</v>
      </c>
      <c r="B128" s="24" t="s">
        <v>19</v>
      </c>
      <c r="C128" s="19"/>
      <c r="D128" s="24" t="s">
        <v>213</v>
      </c>
      <c r="E128" s="60"/>
      <c r="F128" s="25" t="s">
        <v>193</v>
      </c>
      <c r="G128" s="20"/>
      <c r="H128" s="20"/>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notes</v>
      </c>
      <c r="V128" s="4" t="str">
        <f>IF(LEN(Table2[[#This Row],[!Description]]) &gt; 0, Table2[[#This Row],[!Description]], "rg:None")</f>
        <v>rg:None</v>
      </c>
      <c r="W128" s="4" t="str">
        <f>IF(LEN(Table2[[#This Row],[!FK]])&gt;0,Table2[[#This Row],[!FK]],"rg:None")</f>
        <v>Note</v>
      </c>
      <c r="X128" s="15" t="str">
        <f>IF(LEN(concatif2(A:A,Table2[[#This Row],[!Table]],G:G,"Y",D:D,",")) &gt; 0,"rg:[ { 'req' : '"&amp;concatif2(A:A,Table2[[#This Row],[!Table]],G:G,"Y",D:D,"' }, { 'req': '")&amp;"'} ]","rg:[]")</f>
        <v>rg:[ { 'req' : 'id'} ]</v>
      </c>
      <c r="Y128" s="4" t="str">
        <f>IF(LEN(Table2[[#This Row],[!Unique]])&gt;0,"rg:True","rg:None")</f>
        <v>rg:None</v>
      </c>
    </row>
    <row r="129" spans="1:25" x14ac:dyDescent="0.3">
      <c r="A129" s="23" t="s">
        <v>239</v>
      </c>
      <c r="B129" s="24" t="s">
        <v>19</v>
      </c>
      <c r="C129" s="19"/>
      <c r="D129" s="24" t="s">
        <v>234</v>
      </c>
      <c r="E129" s="60"/>
      <c r="F129" s="22" t="s">
        <v>207</v>
      </c>
      <c r="G129" s="20"/>
      <c r="H129" s="20"/>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attachments</v>
      </c>
      <c r="V129" s="4" t="str">
        <f>IF(LEN(Table2[[#This Row],[!Description]]) &gt; 0, Table2[[#This Row],[!Description]], "rg:None")</f>
        <v>rg:None</v>
      </c>
      <c r="W129" s="4" t="str">
        <f>IF(LEN(Table2[[#This Row],[!FK]])&gt;0,Table2[[#This Row],[!FK]],"rg:None")</f>
        <v>Attachment</v>
      </c>
      <c r="X129" s="15" t="str">
        <f>IF(LEN(concatif2(A:A,Table2[[#This Row],[!Table]],G:G,"Y",D:D,",")) &gt; 0,"rg:[ { 'req' : '"&amp;concatif2(A:A,Table2[[#This Row],[!Table]],G:G,"Y",D:D,"' }, { 'req': '")&amp;"'} ]","rg:[]")</f>
        <v>rg:[ { 'req' : 'id'} ]</v>
      </c>
      <c r="Y129" s="4" t="str">
        <f>IF(LEN(Table2[[#This Row],[!Unique]])&gt;0,"rg:True","rg:None")</f>
        <v>rg:None</v>
      </c>
    </row>
    <row r="130" spans="1:25" x14ac:dyDescent="0.3">
      <c r="A130" s="23" t="s">
        <v>239</v>
      </c>
      <c r="B130" s="24" t="s">
        <v>19</v>
      </c>
      <c r="C130" s="19"/>
      <c r="D130" s="24" t="s">
        <v>236</v>
      </c>
      <c r="E130" s="60"/>
      <c r="F130" s="23" t="s">
        <v>209</v>
      </c>
      <c r="G130" s="20"/>
      <c r="H130" s="20"/>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links</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history</v>
      </c>
      <c r="V130" s="4" t="str">
        <f>IF(LEN(Table2[[#This Row],[!Description]]) &gt; 0, Table2[[#This Row],[!Description]], "rg:None")</f>
        <v>rg:None</v>
      </c>
      <c r="W130" s="4" t="str">
        <f>IF(LEN(Table2[[#This Row],[!FK]])&gt;0,Table2[[#This Row],[!FK]],"rg:None")</f>
        <v>History</v>
      </c>
      <c r="X130" s="15" t="str">
        <f>IF(LEN(concatif2(A:A,Table2[[#This Row],[!Table]],G:G,"Y",D:D,",")) &gt; 0,"rg:[ { 'req' : '"&amp;concatif2(A:A,Table2[[#This Row],[!Table]],G:G,"Y",D:D,"' }, { 'req': '")&amp;"'} ]","rg:[]")</f>
        <v>rg:[ { 'req' : 'id'} ]</v>
      </c>
      <c r="Y130" s="4" t="str">
        <f>IF(LEN(Table2[[#This Row],[!Unique]])&gt;0,"rg:True","rg:None")</f>
        <v>rg:None</v>
      </c>
    </row>
    <row r="131" spans="1:25" x14ac:dyDescent="0.3">
      <c r="A131" s="23" t="s">
        <v>239</v>
      </c>
      <c r="B131" s="24" t="s">
        <v>19</v>
      </c>
      <c r="C131" s="19"/>
      <c r="D131" s="24" t="s">
        <v>255</v>
      </c>
      <c r="E131" s="60"/>
      <c r="F131" s="3" t="s">
        <v>194</v>
      </c>
      <c r="G131" s="20"/>
      <c r="H131" s="20"/>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links</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seniorityAudit</v>
      </c>
      <c r="V131" s="4" t="str">
        <f>IF(LEN(Table2[[#This Row],[!Description]]) &gt; 0, Table2[[#This Row],[!Description]], "rg:None")</f>
        <v>rg:None</v>
      </c>
      <c r="W131" s="4" t="str">
        <f>IF(LEN(Table2[[#This Row],[!FK]])&gt;0,Table2[[#This Row],[!FK]],"rg:None")</f>
        <v>SeniorityAudit</v>
      </c>
      <c r="X131" s="15" t="str">
        <f>IF(LEN(concatif2(A:A,Table2[[#This Row],[!Table]],G:G,"Y",D:D,",")) &gt; 0,"rg:[ { 'req' : '"&amp;concatif2(A:A,Table2[[#This Row],[!Table]],G:G,"Y",D:D,"' }, { 'req': '")&amp;"'} ]","rg:[]")</f>
        <v>rg:[ { 'req' : 'id'} ]</v>
      </c>
      <c r="Y131" s="4" t="str">
        <f>IF(LEN(Table2[[#This Row],[!Unique]])&gt;0,"rg:True","rg:None")</f>
        <v>rg:None</v>
      </c>
    </row>
    <row r="132" spans="1:25" x14ac:dyDescent="0.3">
      <c r="A132" s="3" t="s">
        <v>130</v>
      </c>
      <c r="B132" s="3" t="s">
        <v>4</v>
      </c>
      <c r="C132" s="3"/>
      <c r="D132" s="3" t="s">
        <v>130</v>
      </c>
      <c r="E132" s="66" t="s">
        <v>403</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4" t="str">
        <f>IF(LEN(Table2[[#This Row],[!Length]]) &gt; 0, Table2[[#This Row],[!Length]], "rg:None")</f>
        <v>rg:None</v>
      </c>
      <c r="U132" s="4" t="str">
        <f>IF(LEN(Table2[[#This Row],[!Name]]) &gt; 0, Table2[[#This Row],[!Name]], "rg:None")</f>
        <v>DumpTruck</v>
      </c>
      <c r="V132" s="4" t="str">
        <f>IF(LEN(Table2[[#This Row],[!Description]]) &gt; 0, Table2[[#This Row],[!Description]], "rg:None")</f>
        <v>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http://www.bclaws.ca/EPLibraries/bclaws_new/document/ID/freeside/30_78#AppendicesAtoK, Appendix A and  B. Any metrics information provided here is from the Equipment Owner.</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3" t="s">
        <v>130</v>
      </c>
      <c r="B133" s="3" t="s">
        <v>6</v>
      </c>
      <c r="C133" s="3"/>
      <c r="D133" s="3" t="s">
        <v>6</v>
      </c>
      <c r="E133" s="42" t="s">
        <v>423</v>
      </c>
      <c r="F133" s="3" t="s">
        <v>5</v>
      </c>
      <c r="G133" s="4" t="s">
        <v>70</v>
      </c>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id</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id</v>
      </c>
      <c r="V133" s="4" t="str">
        <f>IF(LEN(Table2[[#This Row],[!Description]]) &gt; 0, Table2[[#This Row],[!Description]], "rg:None")</f>
        <v>A system-generated unique identifier for a DumpTruck</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130</v>
      </c>
      <c r="B134" s="67" t="s">
        <v>9</v>
      </c>
      <c r="C134" s="3"/>
      <c r="D134" s="67" t="s">
        <v>376</v>
      </c>
      <c r="E134" s="66" t="s">
        <v>386</v>
      </c>
      <c r="F134" s="3" t="s">
        <v>5</v>
      </c>
      <c r="G134" s="4"/>
      <c r="H134" s="4"/>
      <c r="I134" s="4" t="str">
        <f t="shared" si="10"/>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isSingleAxle</v>
      </c>
      <c r="V134" s="4" t="str">
        <f>IF(LEN(Table2[[#This Row],[!Description]]) &gt; 0, Table2[[#This Row],[!Description]], "rg:None")</f>
        <v>True if the vehicle has a single axle. Can be false or null.</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3" t="s">
        <v>130</v>
      </c>
      <c r="B135" s="67" t="s">
        <v>9</v>
      </c>
      <c r="C135" s="3"/>
      <c r="D135" s="67" t="s">
        <v>380</v>
      </c>
      <c r="E135" s="66" t="s">
        <v>385</v>
      </c>
      <c r="F135" s="3" t="s">
        <v>5</v>
      </c>
      <c r="G135" s="4"/>
      <c r="H135" s="4"/>
      <c r="I135" s="4" t="str">
        <f t="shared" si="10"/>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isTandemAxle</v>
      </c>
      <c r="V135" s="4" t="str">
        <f>IF(LEN(Table2[[#This Row],[!Description]]) &gt; 0, Table2[[#This Row],[!Description]], "rg:None")</f>
        <v>True if the vehicle has a tandem axle. Can be false or null.</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3" t="s">
        <v>130</v>
      </c>
      <c r="B136" s="67" t="s">
        <v>9</v>
      </c>
      <c r="C136" s="3"/>
      <c r="D136" s="67" t="s">
        <v>387</v>
      </c>
      <c r="E136" s="66" t="s">
        <v>388</v>
      </c>
      <c r="F136" s="3" t="s">
        <v>5</v>
      </c>
      <c r="G136" s="4"/>
      <c r="H136" s="4"/>
      <c r="I136" s="4" t="str">
        <f>IF(LEN(A136) &gt; 0,"Defs","-")</f>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isTridem</v>
      </c>
      <c r="V136" s="4" t="str">
        <f>IF(LEN(Table2[[#This Row],[!Description]]) &gt; 0, Table2[[#This Row],[!Description]], "rg:None")</f>
        <v xml:space="preserve">True if the Dump Truck is a tridem - a three axle dump truck. Can be false or null. </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3" t="s">
        <v>130</v>
      </c>
      <c r="B137" s="67" t="s">
        <v>9</v>
      </c>
      <c r="C137" s="3"/>
      <c r="D137" s="67" t="s">
        <v>381</v>
      </c>
      <c r="E137" s="66" t="s">
        <v>382</v>
      </c>
      <c r="F137" s="3" t="s">
        <v>5</v>
      </c>
      <c r="G137" s="4"/>
      <c r="H137" s="4"/>
      <c r="I137" s="4" t="str">
        <f t="shared" si="10"/>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hasPUP</v>
      </c>
      <c r="V137" s="4" t="str">
        <f>IF(LEN(Table2[[#This Row],[!Description]]) &gt; 0, Table2[[#This Row],[!Description]], "rg:None")</f>
        <v>True if the Dump Truck has a PUP trailer - a trailer with it's own hydraulic unloading system. Can be false or null.</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3" t="s">
        <v>130</v>
      </c>
      <c r="B138" s="67" t="s">
        <v>9</v>
      </c>
      <c r="C138" s="3"/>
      <c r="D138" s="67" t="s">
        <v>383</v>
      </c>
      <c r="E138" s="66" t="s">
        <v>384</v>
      </c>
      <c r="F138" s="3" t="s">
        <v>5</v>
      </c>
      <c r="G138" s="4"/>
      <c r="H138" s="4"/>
      <c r="I138" s="4" t="str">
        <f t="shared" si="10"/>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hasBellyDump</v>
      </c>
      <c r="V138" s="4" t="str">
        <f>IF(LEN(Table2[[#This Row],[!Description]]) &gt; 0, Table2[[#This Row],[!Description]], "rg:None")</f>
        <v>True if the Dump Truck has a belly dump capability. Can be false or null.</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3" t="s">
        <v>130</v>
      </c>
      <c r="B139" s="67" t="s">
        <v>9</v>
      </c>
      <c r="C139" s="3"/>
      <c r="D139" s="67" t="s">
        <v>389</v>
      </c>
      <c r="E139" s="66" t="s">
        <v>390</v>
      </c>
      <c r="F139" s="3" t="s">
        <v>5</v>
      </c>
      <c r="G139" s="4"/>
      <c r="H139" s="4"/>
      <c r="I139" s="4" t="str">
        <f t="shared" si="10"/>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hasRockBox</v>
      </c>
      <c r="V139" s="4" t="str">
        <f>IF(LEN(Table2[[#This Row],[!Description]]) &gt; 0, Table2[[#This Row],[!Description]], "rg:None")</f>
        <v>True if the Dump Truck has a rock box. Can be false or null.</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3" t="s">
        <v>130</v>
      </c>
      <c r="B140" s="67" t="s">
        <v>9</v>
      </c>
      <c r="C140" s="3"/>
      <c r="D140" s="67" t="s">
        <v>391</v>
      </c>
      <c r="E140" s="66" t="s">
        <v>392</v>
      </c>
      <c r="F140" s="3" t="s">
        <v>5</v>
      </c>
      <c r="G140" s="4"/>
      <c r="H140" s="4"/>
      <c r="I140" s="4" t="str">
        <f t="shared" si="10"/>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hasHiliftGate</v>
      </c>
      <c r="V140" s="4" t="str">
        <f>IF(LEN(Table2[[#This Row],[!Description]]) &gt; 0, Table2[[#This Row],[!Description]], "rg:None")</f>
        <v>True if the Dump Truck has a high lift gate vs. a traditional gate. Can be false or null.</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3" t="s">
        <v>130</v>
      </c>
      <c r="B141" s="67" t="s">
        <v>9</v>
      </c>
      <c r="C141" s="3"/>
      <c r="D141" s="67" t="s">
        <v>393</v>
      </c>
      <c r="E141" s="66" t="s">
        <v>394</v>
      </c>
      <c r="F141" s="3" t="s">
        <v>5</v>
      </c>
      <c r="G141" s="4"/>
      <c r="H141" s="4"/>
      <c r="I141" s="4" t="str">
        <f t="shared" si="10"/>
        <v>Defs</v>
      </c>
      <c r="J141" s="4" t="str">
        <f>IF(Table2[[#This Row],[!Type]]=J$1, J$1,"rg:None")</f>
        <v>boolean</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isWaterTruck</v>
      </c>
      <c r="V141" s="4" t="str">
        <f>IF(LEN(Table2[[#This Row],[!Description]]) &gt; 0, Table2[[#This Row],[!Description]], "rg:None")</f>
        <v xml:space="preserve">True if the Dump Truck is a Water Truck. Can be false or null. </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3" t="s">
        <v>130</v>
      </c>
      <c r="B142" s="67" t="s">
        <v>9</v>
      </c>
      <c r="C142" s="67"/>
      <c r="D142" s="67" t="s">
        <v>395</v>
      </c>
      <c r="E142" s="66" t="s">
        <v>396</v>
      </c>
      <c r="F142" s="3" t="s">
        <v>5</v>
      </c>
      <c r="G142" s="4"/>
      <c r="H142" s="4"/>
      <c r="I142" s="4" t="str">
        <f t="shared" si="10"/>
        <v>Defs</v>
      </c>
      <c r="J142" s="4" t="str">
        <f>IF(Table2[[#This Row],[!Type]]=J$1, J$1,"rg:None")</f>
        <v>boolean</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hasSealcoatHitch</v>
      </c>
      <c r="V142" s="4" t="str">
        <f>IF(LEN(Table2[[#This Row],[!Description]]) &gt; 0, Table2[[#This Row],[!Description]], "rg:None")</f>
        <v>True if the Dump Truck has a hitch for using sealcoat trailers. Can be false or null.</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3" t="s">
        <v>130</v>
      </c>
      <c r="B143" s="3" t="s">
        <v>7</v>
      </c>
      <c r="C143" s="3">
        <v>255</v>
      </c>
      <c r="D143" s="3" t="s">
        <v>131</v>
      </c>
      <c r="E143" s="66" t="s">
        <v>397</v>
      </c>
      <c r="F143" s="3" t="s">
        <v>5</v>
      </c>
      <c r="G143" s="4"/>
      <c r="H143" s="4"/>
      <c r="I143" s="4" t="str">
        <f t="shared" si="10"/>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255</v>
      </c>
      <c r="U143" s="4" t="str">
        <f>IF(LEN(Table2[[#This Row],[!Name]]) &gt; 0, Table2[[#This Row],[!Name]], "rg:None")</f>
        <v>rearAxleSpacing</v>
      </c>
      <c r="V143" s="4" t="str">
        <f>IF(LEN(Table2[[#This Row],[!Description]]) &gt; 0, Table2[[#This Row],[!Description]], "rg:None")</f>
        <v>The spacing of the rear axles, if applicable. Usually in metres.</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3" t="s">
        <v>130</v>
      </c>
      <c r="B144" s="3" t="s">
        <v>7</v>
      </c>
      <c r="C144" s="3">
        <v>255</v>
      </c>
      <c r="D144" s="3" t="s">
        <v>132</v>
      </c>
      <c r="E144" s="66" t="s">
        <v>398</v>
      </c>
      <c r="F144" s="3" t="s">
        <v>5</v>
      </c>
      <c r="G144" s="4"/>
      <c r="H144" s="4"/>
      <c r="I144" s="4" t="str">
        <f t="shared" si="10"/>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255</v>
      </c>
      <c r="U144" s="4" t="str">
        <f>IF(LEN(Table2[[#This Row],[!Name]]) &gt; 0, Table2[[#This Row],[!Name]], "rg:None")</f>
        <v>frontTireSize</v>
      </c>
      <c r="V144" s="4" t="str">
        <f>IF(LEN(Table2[[#This Row],[!Description]]) &gt; 0, Table2[[#This Row],[!Description]], "rg:None")</f>
        <v>The size of of the Front Tires of the Dump Truck.</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3" t="s">
        <v>130</v>
      </c>
      <c r="B145" s="3" t="s">
        <v>7</v>
      </c>
      <c r="C145" s="3">
        <v>255</v>
      </c>
      <c r="D145" s="3" t="s">
        <v>133</v>
      </c>
      <c r="E145" s="66" t="s">
        <v>399</v>
      </c>
      <c r="F145" s="3" t="s">
        <v>5</v>
      </c>
      <c r="G145" s="4"/>
      <c r="H145" s="4"/>
      <c r="I145" s="4" t="str">
        <f t="shared" ref="I145:I164" si="11">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255</v>
      </c>
      <c r="U145" s="4" t="str">
        <f>IF(LEN(Table2[[#This Row],[!Name]]) &gt; 0, Table2[[#This Row],[!Name]], "rg:None")</f>
        <v>frontTireUOM</v>
      </c>
      <c r="V145" s="4" t="str">
        <f>IF(LEN(Table2[[#This Row],[!Description]]) &gt; 0, Table2[[#This Row],[!Description]], "rg:None")</f>
        <v>The Unit of Measure of the Front Tire Size.</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3" t="s">
        <v>130</v>
      </c>
      <c r="B146" s="3" t="s">
        <v>7</v>
      </c>
      <c r="C146" s="3">
        <v>255</v>
      </c>
      <c r="D146" s="3" t="s">
        <v>134</v>
      </c>
      <c r="E146" s="66" t="s">
        <v>400</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255</v>
      </c>
      <c r="U146" s="4" t="str">
        <f>IF(LEN(Table2[[#This Row],[!Name]]) &gt; 0, Table2[[#This Row],[!Name]], "rg:None")</f>
        <v>frontAxleCapacity</v>
      </c>
      <c r="V146" s="4" t="str">
        <f>IF(LEN(Table2[[#This Row],[!Description]]) &gt; 0, Table2[[#This Row],[!Description]], "rg:None")</f>
        <v>The rated capacity of the Front Axle.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3" t="s">
        <v>130</v>
      </c>
      <c r="B147" s="3" t="s">
        <v>7</v>
      </c>
      <c r="C147" s="3">
        <v>255</v>
      </c>
      <c r="D147" s="23" t="s">
        <v>252</v>
      </c>
      <c r="E147" s="66" t="s">
        <v>401</v>
      </c>
      <c r="F147" s="3" t="s">
        <v>5</v>
      </c>
      <c r="G147" s="4"/>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255</v>
      </c>
      <c r="U147" s="4" t="str">
        <f>IF(LEN(Table2[[#This Row],[!Name]]) &gt; 0, Table2[[#This Row],[!Name]], "rg:None")</f>
        <v>rearAxleCapacity</v>
      </c>
      <c r="V147" s="4" t="str">
        <f>IF(LEN(Table2[[#This Row],[!Description]]) &gt; 0, Table2[[#This Row],[!Description]], "rg:None")</f>
        <v>The rated capacity of the Rear Axle.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3" t="s">
        <v>130</v>
      </c>
      <c r="B148" s="3" t="s">
        <v>7</v>
      </c>
      <c r="C148" s="3">
        <v>255</v>
      </c>
      <c r="D148" s="3" t="s">
        <v>135</v>
      </c>
      <c r="E148" s="66" t="s">
        <v>402</v>
      </c>
      <c r="F148" s="3" t="s">
        <v>5</v>
      </c>
      <c r="G148" s="4"/>
      <c r="H148" s="4"/>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255</v>
      </c>
      <c r="U148" s="4" t="str">
        <f>IF(LEN(Table2[[#This Row],[!Name]]) &gt; 0, Table2[[#This Row],[!Name]], "rg:None")</f>
        <v>legalLoad</v>
      </c>
      <c r="V148" s="4" t="str">
        <f>IF(LEN(Table2[[#This Row],[!Description]]) &gt; 0, Table2[[#This Row],[!Description]], "rg:None")</f>
        <v>The legal load of the vehicle in kg.</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3" t="s">
        <v>130</v>
      </c>
      <c r="B149" s="3" t="s">
        <v>7</v>
      </c>
      <c r="C149" s="3">
        <v>255</v>
      </c>
      <c r="D149" s="3" t="s">
        <v>136</v>
      </c>
      <c r="E149" s="66" t="s">
        <v>404</v>
      </c>
      <c r="F149" s="3" t="s">
        <v>5</v>
      </c>
      <c r="G149" s="4"/>
      <c r="H149" s="4"/>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255</v>
      </c>
      <c r="U149" s="4" t="str">
        <f>IF(LEN(Table2[[#This Row],[!Name]]) &gt; 0, Table2[[#This Row],[!Name]], "rg:None")</f>
        <v>legalCapacity</v>
      </c>
      <c r="V149" s="4" t="str">
        <f>IF(LEN(Table2[[#This Row],[!Description]]) &gt; 0, Table2[[#This Row],[!Description]], "rg:None")</f>
        <v>The legal capacity of the dump truck.</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x14ac:dyDescent="0.3">
      <c r="A150" s="3" t="s">
        <v>130</v>
      </c>
      <c r="B150" s="3" t="s">
        <v>7</v>
      </c>
      <c r="C150" s="3">
        <v>255</v>
      </c>
      <c r="D150" s="3" t="s">
        <v>137</v>
      </c>
      <c r="E150" s="66" t="s">
        <v>408</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255</v>
      </c>
      <c r="U150" s="4" t="str">
        <f>IF(LEN(Table2[[#This Row],[!Name]]) &gt; 0, Table2[[#This Row],[!Name]], "rg:None")</f>
        <v>legalPUPTareWeight</v>
      </c>
      <c r="V150" s="4" t="str">
        <f>IF(LEN(Table2[[#This Row],[!Description]]) &gt; 0, Table2[[#This Row],[!Description]], "rg:None")</f>
        <v>The legal Tare Weight (weight when unloaded) of the PUP trailer.</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130</v>
      </c>
      <c r="B151" s="3" t="s">
        <v>7</v>
      </c>
      <c r="C151" s="3">
        <v>255</v>
      </c>
      <c r="D151" s="3" t="s">
        <v>138</v>
      </c>
      <c r="E151" s="66" t="s">
        <v>405</v>
      </c>
      <c r="F151" s="3" t="s">
        <v>5</v>
      </c>
      <c r="G151" s="4"/>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255</v>
      </c>
      <c r="U151" s="4" t="str">
        <f>IF(LEN(Table2[[#This Row],[!Name]]) &gt; 0, Table2[[#This Row],[!Name]], "rg:None")</f>
        <v>licencedGVW</v>
      </c>
      <c r="V151"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130</v>
      </c>
      <c r="B152" s="3" t="s">
        <v>7</v>
      </c>
      <c r="C152" s="3">
        <v>255</v>
      </c>
      <c r="D152" s="3" t="s">
        <v>139</v>
      </c>
      <c r="E152" s="66" t="s">
        <v>406</v>
      </c>
      <c r="F152" s="3" t="s">
        <v>5</v>
      </c>
      <c r="G152" s="4"/>
      <c r="H152" s="4"/>
      <c r="I152" s="4" t="str">
        <f t="shared" si="11"/>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255</v>
      </c>
      <c r="U152" s="4" t="str">
        <f>IF(LEN(Table2[[#This Row],[!Name]]) &gt; 0, Table2[[#This Row],[!Name]], "rg:None")</f>
        <v>licencedGVWUOM</v>
      </c>
      <c r="V152" s="4" t="str">
        <f>IF(LEN(Table2[[#This Row],[!Description]]) &gt; 0, Table2[[#This Row],[!Description]], "rg:None")</f>
        <v>The Unit of Measure (UOM) of the licenced GVW.</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130</v>
      </c>
      <c r="B153" s="3" t="s">
        <v>7</v>
      </c>
      <c r="C153" s="3">
        <v>255</v>
      </c>
      <c r="D153" s="3" t="s">
        <v>140</v>
      </c>
      <c r="E153" s="66" t="s">
        <v>407</v>
      </c>
      <c r="F153" s="3" t="s">
        <v>5</v>
      </c>
      <c r="G153" s="4"/>
      <c r="H153" s="4"/>
      <c r="I153" s="4" t="str">
        <f t="shared" si="11"/>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255</v>
      </c>
      <c r="U153" s="4" t="str">
        <f>IF(LEN(Table2[[#This Row],[!Name]]) &gt; 0, Table2[[#This Row],[!Name]], "rg:None")</f>
        <v>licencedTareWeight</v>
      </c>
      <c r="V153" s="4" t="str">
        <f>IF(LEN(Table2[[#This Row],[!Description]]) &gt; 0, Table2[[#This Row],[!Description]], "rg:None")</f>
        <v>The licenced Tare Weight (weight when unloaded) of the vehicle.</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130</v>
      </c>
      <c r="B154" s="3" t="s">
        <v>7</v>
      </c>
      <c r="C154" s="3">
        <v>255</v>
      </c>
      <c r="D154" s="3" t="s">
        <v>141</v>
      </c>
      <c r="E154" s="66" t="s">
        <v>409</v>
      </c>
      <c r="F154" s="3" t="s">
        <v>5</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255</v>
      </c>
      <c r="U154" s="4" t="str">
        <f>IF(LEN(Table2[[#This Row],[!Name]]) &gt; 0, Table2[[#This Row],[!Name]], "rg:None")</f>
        <v>licencedPUPTareWeight</v>
      </c>
      <c r="V154" s="4" t="str">
        <f>IF(LEN(Table2[[#This Row],[!Description]]) &gt; 0, Table2[[#This Row],[!Description]], "rg:None")</f>
        <v>The licenced Tare Weight (weight when unloaded) of the PUP trailer.</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3" t="s">
        <v>130</v>
      </c>
      <c r="B155" s="3" t="s">
        <v>7</v>
      </c>
      <c r="C155" s="3">
        <v>255</v>
      </c>
      <c r="D155" s="3" t="s">
        <v>142</v>
      </c>
      <c r="E155" s="66" t="s">
        <v>410</v>
      </c>
      <c r="F155" s="3" t="s">
        <v>5</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255</v>
      </c>
      <c r="U155" s="4" t="str">
        <f>IF(LEN(Table2[[#This Row],[!Name]]) &gt; 0, Table2[[#This Row],[!Name]], "rg:None")</f>
        <v>licencedLoad</v>
      </c>
      <c r="V155" s="4" t="str">
        <f>IF(LEN(Table2[[#This Row],[!Description]]) &gt; 0, Table2[[#This Row],[!Description]], "rg:None")</f>
        <v>The licenced maximum load of the vehicle in kg.</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130</v>
      </c>
      <c r="B156" s="3" t="s">
        <v>7</v>
      </c>
      <c r="C156" s="3">
        <v>255</v>
      </c>
      <c r="D156" s="3" t="s">
        <v>143</v>
      </c>
      <c r="E156" s="66" t="s">
        <v>411</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255</v>
      </c>
      <c r="U156" s="4" t="str">
        <f>IF(LEN(Table2[[#This Row],[!Name]]) &gt; 0, Table2[[#This Row],[!Name]], "rg:None")</f>
        <v>licencedCapacity</v>
      </c>
      <c r="V156" s="4" t="str">
        <f>IF(LEN(Table2[[#This Row],[!Description]]) &gt; 0, Table2[[#This Row],[!Description]], "rg:None")</f>
        <v>The licenced maximum capacity of the vehicle.</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130</v>
      </c>
      <c r="B157" s="3" t="s">
        <v>7</v>
      </c>
      <c r="C157" s="3">
        <v>255</v>
      </c>
      <c r="D157" s="3" t="s">
        <v>144</v>
      </c>
      <c r="E157" s="66" t="s">
        <v>412</v>
      </c>
      <c r="F157" s="3" t="s">
        <v>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255</v>
      </c>
      <c r="U157" s="4" t="str">
        <f>IF(LEN(Table2[[#This Row],[!Name]]) &gt; 0, Table2[[#This Row],[!Name]], "rg:None")</f>
        <v>boxLength</v>
      </c>
      <c r="V157" s="4" t="str">
        <f>IF(LEN(Table2[[#This Row],[!Description]]) &gt; 0, Table2[[#This Row],[!Description]], "rg:None")</f>
        <v>The length of the box, in metres. See: http://www.bclaws.ca/EPLibraries/bclaws_new/document/ID/freeside/30_7, appendix B</v>
      </c>
      <c r="W157" s="4" t="str">
        <f>IF(LEN(Table2[[#This Row],[!FK]])&gt;0,Table2[[#This Row],[!FK]],"rg:None")</f>
        <v>rg:None</v>
      </c>
      <c r="X157" s="15" t="str">
        <f>IF(LEN(concatif2(A:A,Table2[[#This Row],[!Table]],G:G,"Y",D:D,",")) &gt; 0,"rg:[ { 'req' : '"&amp;concatif2(A:A,Table2[[#This Row],[!Table]],G:G,"Y",D:D,"' }, { 'req': '")&amp;"'} ]","rg:[]")</f>
        <v>rg:[ { 'req' : 'id'} ]</v>
      </c>
      <c r="Y157" s="4" t="str">
        <f>IF(LEN(Table2[[#This Row],[!Unique]])&gt;0,"rg:True","rg:None")</f>
        <v>rg:None</v>
      </c>
    </row>
    <row r="158" spans="1:25" x14ac:dyDescent="0.3">
      <c r="A158" s="3" t="s">
        <v>130</v>
      </c>
      <c r="B158" s="3" t="s">
        <v>7</v>
      </c>
      <c r="C158" s="3">
        <v>255</v>
      </c>
      <c r="D158" s="3" t="s">
        <v>145</v>
      </c>
      <c r="E158" s="66" t="s">
        <v>413</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255</v>
      </c>
      <c r="U158" s="4" t="str">
        <f>IF(LEN(Table2[[#This Row],[!Name]]) &gt; 0, Table2[[#This Row],[!Name]], "rg:None")</f>
        <v>boxWidth</v>
      </c>
      <c r="V158" s="4" t="str">
        <f>IF(LEN(Table2[[#This Row],[!Description]]) &gt; 0, Table2[[#This Row],[!Description]], "rg:None")</f>
        <v>The width of the box, in metres. See: http://www.bclaws.ca/EPLibraries/bclaws_new/document/ID/freeside/30_7, appendix B</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x14ac:dyDescent="0.3">
      <c r="A159" s="3" t="s">
        <v>130</v>
      </c>
      <c r="B159" s="3" t="s">
        <v>7</v>
      </c>
      <c r="C159" s="3">
        <v>255</v>
      </c>
      <c r="D159" s="3" t="s">
        <v>146</v>
      </c>
      <c r="E159" s="66" t="s">
        <v>414</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255</v>
      </c>
      <c r="U159" s="4" t="str">
        <f>IF(LEN(Table2[[#This Row],[!Name]]) &gt; 0, Table2[[#This Row],[!Name]], "rg:None")</f>
        <v>boxHeight</v>
      </c>
      <c r="V159" s="4" t="str">
        <f>IF(LEN(Table2[[#This Row],[!Description]]) &gt; 0, Table2[[#This Row],[!Description]], "rg:None")</f>
        <v>The height of the box, in metres. See: http://www.bclaws.ca/EPLibraries/bclaws_new/document/ID/freeside/30_7, appendix B</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x14ac:dyDescent="0.3">
      <c r="A160" s="3" t="s">
        <v>130</v>
      </c>
      <c r="B160" s="3" t="s">
        <v>7</v>
      </c>
      <c r="C160" s="3">
        <v>255</v>
      </c>
      <c r="D160" s="3" t="s">
        <v>147</v>
      </c>
      <c r="E160" s="66" t="s">
        <v>415</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255</v>
      </c>
      <c r="U160" s="4" t="str">
        <f>IF(LEN(Table2[[#This Row],[!Name]]) &gt; 0, Table2[[#This Row],[!Name]], "rg:None")</f>
        <v>boxCapacity</v>
      </c>
      <c r="V160" s="4" t="str">
        <f>IF(LEN(Table2[[#This Row],[!Description]]) &gt; 0, Table2[[#This Row],[!Description]], "rg:None")</f>
        <v>The capacity of the box.</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130</v>
      </c>
      <c r="B161" s="3" t="s">
        <v>7</v>
      </c>
      <c r="C161" s="3">
        <v>255</v>
      </c>
      <c r="D161" s="3" t="s">
        <v>148</v>
      </c>
      <c r="E161" s="66" t="s">
        <v>416</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255</v>
      </c>
      <c r="U161" s="4" t="str">
        <f>IF(LEN(Table2[[#This Row],[!Name]]) &gt; 0, Table2[[#This Row],[!Name]], "rg:None")</f>
        <v>trailerBoxLength</v>
      </c>
      <c r="V161" s="4" t="str">
        <f>IF(LEN(Table2[[#This Row],[!Description]]) &gt; 0, Table2[[#This Row],[!Description]], "rg:None")</f>
        <v>The length of the trailer box, in metres. See: http://www.bclaws.ca/EPLibraries/bclaws_new/document/ID/freeside/30_7, appendix B</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x14ac:dyDescent="0.3">
      <c r="A162" s="3" t="s">
        <v>130</v>
      </c>
      <c r="B162" s="3" t="s">
        <v>7</v>
      </c>
      <c r="C162" s="3">
        <v>255</v>
      </c>
      <c r="D162" s="3" t="s">
        <v>149</v>
      </c>
      <c r="E162" s="66" t="s">
        <v>417</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255</v>
      </c>
      <c r="U162" s="4" t="str">
        <f>IF(LEN(Table2[[#This Row],[!Name]]) &gt; 0, Table2[[#This Row],[!Name]], "rg:None")</f>
        <v>trailerBoxWidth</v>
      </c>
      <c r="V162" s="4" t="str">
        <f>IF(LEN(Table2[[#This Row],[!Description]]) &gt; 0, Table2[[#This Row],[!Description]], "rg:None")</f>
        <v>The width of the trailer box, in metres. See: http://www.bclaws.ca/EPLibraries/bclaws_new/document/ID/freeside/30_7, appendix B</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x14ac:dyDescent="0.3">
      <c r="A163" s="3" t="s">
        <v>130</v>
      </c>
      <c r="B163" s="3" t="s">
        <v>7</v>
      </c>
      <c r="C163" s="3">
        <v>255</v>
      </c>
      <c r="D163" s="3" t="s">
        <v>150</v>
      </c>
      <c r="E163" s="66" t="s">
        <v>418</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255</v>
      </c>
      <c r="U163" s="4" t="str">
        <f>IF(LEN(Table2[[#This Row],[!Name]]) &gt; 0, Table2[[#This Row],[!Name]], "rg:None")</f>
        <v>trailerBoxHeight</v>
      </c>
      <c r="V163" s="4" t="str">
        <f>IF(LEN(Table2[[#This Row],[!Description]]) &gt; 0, Table2[[#This Row],[!Description]], "rg:None")</f>
        <v>The height of the trailer box, in metres. See: http://www.bclaws.ca/EPLibraries/bclaws_new/document/ID/freeside/30_7, appendix B</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130</v>
      </c>
      <c r="B164" s="3" t="s">
        <v>7</v>
      </c>
      <c r="C164" s="3">
        <v>255</v>
      </c>
      <c r="D164" s="3" t="s">
        <v>151</v>
      </c>
      <c r="E164" s="66" t="s">
        <v>419</v>
      </c>
      <c r="F164" s="3" t="s">
        <v>5</v>
      </c>
      <c r="G164" s="4"/>
      <c r="H164" s="4"/>
      <c r="I164" s="4" t="str">
        <f t="shared" si="11"/>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255</v>
      </c>
      <c r="U164" s="4" t="str">
        <f>IF(LEN(Table2[[#This Row],[!Name]]) &gt; 0, Table2[[#This Row],[!Name]], "rg:None")</f>
        <v>trailerBoxCapacity</v>
      </c>
      <c r="V164" s="4" t="str">
        <f>IF(LEN(Table2[[#This Row],[!Description]]) &gt; 0, Table2[[#This Row],[!Description]], "rg:None")</f>
        <v>The capacity of the trailer box.</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x14ac:dyDescent="0.3">
      <c r="A165" s="23" t="s">
        <v>241</v>
      </c>
      <c r="B165" s="3" t="s">
        <v>4</v>
      </c>
      <c r="C165" s="3"/>
      <c r="D165" s="23" t="s">
        <v>241</v>
      </c>
      <c r="E165" s="69" t="s">
        <v>428</v>
      </c>
      <c r="F165" s="3" t="s">
        <v>5</v>
      </c>
      <c r="G165" s="4"/>
      <c r="H165" s="4"/>
      <c r="I165" s="4" t="str">
        <f t="shared" ref="I165:I175" si="12">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4" t="str">
        <f>IF(LEN(Table2[[#This Row],[!Length]]) &gt; 0, Table2[[#This Row],[!Length]], "rg:None")</f>
        <v>rg:None</v>
      </c>
      <c r="U165" s="4" t="str">
        <f>IF(LEN(Table2[[#This Row],[!Name]]) &gt; 0, Table2[[#This Row],[!Name]], "rg:None")</f>
        <v>EquipmentType</v>
      </c>
      <c r="V165"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23" t="s">
        <v>241</v>
      </c>
      <c r="B166" s="3" t="s">
        <v>6</v>
      </c>
      <c r="C166" s="3"/>
      <c r="D166" s="3" t="s">
        <v>6</v>
      </c>
      <c r="E166" s="69" t="s">
        <v>429</v>
      </c>
      <c r="F166" s="3" t="s">
        <v>5</v>
      </c>
      <c r="G166" s="4" t="s">
        <v>70</v>
      </c>
      <c r="H166" s="4"/>
      <c r="I166" s="4" t="str">
        <f t="shared" si="12"/>
        <v>Defs</v>
      </c>
      <c r="J166" s="4" t="str">
        <f>IF(Table2[[#This Row],[!Type]]=J$1, J$1,"rg:None")</f>
        <v>rg:None</v>
      </c>
      <c r="K166" s="4" t="str">
        <f>IF(Table2[[#This Row],[!Type]]=K$1, K$1,"rg:None")</f>
        <v>rg:None</v>
      </c>
      <c r="L166" s="4" t="str">
        <f>IF(Table2[[#This Row],[!Type]]=L$1, L$1,"rg:None")</f>
        <v>rg:None</v>
      </c>
      <c r="M166" s="4" t="str">
        <f>IF(Table2[[#This Row],[!Type]]=M$1, M$1,"rg:None")</f>
        <v>id</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id</v>
      </c>
      <c r="V166" s="4" t="str">
        <f>IF(LEN(Table2[[#This Row],[!Description]]) &gt; 0, Table2[[#This Row],[!Description]], "rg:None")</f>
        <v>A system-generated unique identifier for an EquipmentType</v>
      </c>
      <c r="W166" s="4" t="str">
        <f>IF(LEN(Table2[[#This Row],[!FK]])&gt;0,Table2[[#This Row],[!FK]],"rg:None")</f>
        <v>rg:None</v>
      </c>
      <c r="X166" s="15" t="str">
        <f>IF(LEN(concatif2(A:A,Table2[[#This Row],[!Table]],G:G,"Y",D:D,",")) &gt; 0,"rg:[ { 'req' : '"&amp;concatif2(A:A,Table2[[#This Row],[!Table]],G:G,"Y",D:D,"' }, { 'req': '")&amp;"'} ]","rg:[]")</f>
        <v>rg:[ { 'req' : 'id'} ]</v>
      </c>
      <c r="Y166" s="4" t="str">
        <f>IF(LEN(Table2[[#This Row],[!Unique]])&gt;0,"rg:True","rg:None")</f>
        <v>rg:None</v>
      </c>
    </row>
    <row r="167" spans="1:25" x14ac:dyDescent="0.3">
      <c r="A167" s="23" t="s">
        <v>241</v>
      </c>
      <c r="B167" s="3" t="s">
        <v>8</v>
      </c>
      <c r="C167" s="3"/>
      <c r="D167" s="23" t="s">
        <v>230</v>
      </c>
      <c r="E167" s="42"/>
      <c r="F167" s="23" t="s">
        <v>198</v>
      </c>
      <c r="G167" s="4"/>
      <c r="H167" s="4"/>
      <c r="I167" s="4" t="str">
        <f t="shared" si="12"/>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localArea</v>
      </c>
      <c r="V167" s="4" t="str">
        <f>IF(LEN(Table2[[#This Row],[!Description]]) &gt; 0, Table2[[#This Row],[!Description]], "rg:None")</f>
        <v>rg:None</v>
      </c>
      <c r="W167" s="4" t="str">
        <f>IF(LEN(Table2[[#This Row],[!FK]])&gt;0,Table2[[#This Row],[!FK]],"rg:None")</f>
        <v>LocalArea</v>
      </c>
      <c r="X167" s="15" t="str">
        <f>IF(LEN(concatif2(A:A,Table2[[#This Row],[!Table]],G:G,"Y",D:D,",")) &gt; 0,"rg:[ { 'req' : '"&amp;concatif2(A:A,Table2[[#This Row],[!Table]],G:G,"Y",D:D,"' }, { 'req': '")&amp;"'} ]","rg:[]")</f>
        <v>rg:[ { 'req' : 'id'} ]</v>
      </c>
      <c r="Y167" s="4" t="str">
        <f>IF(LEN(Table2[[#This Row],[!Unique]])&gt;0,"rg:True","rg:None")</f>
        <v>rg:None</v>
      </c>
    </row>
    <row r="168" spans="1:25" x14ac:dyDescent="0.3">
      <c r="A168" s="23" t="s">
        <v>241</v>
      </c>
      <c r="B168" s="3" t="s">
        <v>7</v>
      </c>
      <c r="C168" s="3">
        <v>255</v>
      </c>
      <c r="D168" s="23" t="s">
        <v>66</v>
      </c>
      <c r="E168" s="69" t="s">
        <v>430</v>
      </c>
      <c r="F168" s="3" t="s">
        <v>5</v>
      </c>
      <c r="G168" s="4"/>
      <c r="H168" s="4"/>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255</v>
      </c>
      <c r="U168" s="4" t="str">
        <f>IF(LEN(Table2[[#This Row],[!Name]]) &gt; 0, Table2[[#This Row],[!Name]], "rg:None")</f>
        <v>code</v>
      </c>
      <c r="V168" s="4" t="str">
        <f>IF(LEN(Table2[[#This Row],[!Description]]) &gt; 0, Table2[[#This Row],[!Description]], "rg:None")</f>
        <v>CHECK WITH BUSINESS - IS THIS NEEDED - A unique but human-friendly code for the Equipment Type that can be displayed on screens with little screen real estate available.</v>
      </c>
      <c r="W168" s="4" t="str">
        <f>IF(LEN(Table2[[#This Row],[!FK]])&gt;0,Table2[[#This Row],[!FK]],"rg:None")</f>
        <v>rg:None</v>
      </c>
      <c r="X168" s="15" t="str">
        <f>IF(LEN(concatif2(A:A,Table2[[#This Row],[!Table]],G:G,"Y",D:D,",")) &gt; 0,"rg:[ { 'req' : '"&amp;concatif2(A:A,Table2[[#This Row],[!Table]],G:G,"Y",D:D,"' }, { 'req': '")&amp;"'} ]","rg:[]")</f>
        <v>rg:[ { 'req' : 'id'} ]</v>
      </c>
      <c r="Y168" s="4" t="str">
        <f>IF(LEN(Table2[[#This Row],[!Unique]])&gt;0,"rg:True","rg:None")</f>
        <v>rg:None</v>
      </c>
    </row>
    <row r="169" spans="1:25" x14ac:dyDescent="0.3">
      <c r="A169" s="23" t="s">
        <v>241</v>
      </c>
      <c r="B169" s="3" t="s">
        <v>7</v>
      </c>
      <c r="C169" s="3">
        <v>255</v>
      </c>
      <c r="D169" s="23" t="s">
        <v>14</v>
      </c>
      <c r="E169" s="69" t="s">
        <v>431</v>
      </c>
      <c r="F169" s="3" t="s">
        <v>5</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255</v>
      </c>
      <c r="U169" s="4" t="str">
        <f>IF(LEN(Table2[[#This Row],[!Name]]) &gt; 0, Table2[[#This Row],[!Name]], "rg:None")</f>
        <v>description</v>
      </c>
      <c r="V169" s="4" t="str">
        <f>IF(LEN(Table2[[#This Row],[!Description]]) &gt; 0, Table2[[#This Row],[!Description]], "rg:None")</f>
        <v>The name of the equipment type, as specified by the HETS Clerk creating the equipment type.</v>
      </c>
      <c r="W169" s="4" t="str">
        <f>IF(LEN(Table2[[#This Row],[!FK]])&gt;0,Table2[[#This Row],[!FK]],"rg:None")</f>
        <v>rg:None</v>
      </c>
      <c r="X169" s="15" t="str">
        <f>IF(LEN(concatif2(A:A,Table2[[#This Row],[!Table]],G:G,"Y",D:D,",")) &gt; 0,"rg:[ { 'req' : '"&amp;concatif2(A:A,Table2[[#This Row],[!Table]],G:G,"Y",D:D,"' }, { 'req': '")&amp;"'} ]","rg:[]")</f>
        <v>rg:[ { 'req' : 'id'} ]</v>
      </c>
      <c r="Y169" s="4" t="str">
        <f>IF(LEN(Table2[[#This Row],[!Unique]])&gt;0,"rg:True","rg:None")</f>
        <v>rg:None</v>
      </c>
    </row>
    <row r="170" spans="1:25" x14ac:dyDescent="0.3">
      <c r="A170" s="23" t="s">
        <v>241</v>
      </c>
      <c r="B170" s="3" t="s">
        <v>119</v>
      </c>
      <c r="C170" s="3"/>
      <c r="D170" s="3" t="s">
        <v>174</v>
      </c>
      <c r="E170" s="69" t="s">
        <v>432</v>
      </c>
      <c r="F170" s="3" t="s">
        <v>5</v>
      </c>
      <c r="G170" s="4"/>
      <c r="H170" s="4"/>
      <c r="I170" s="4" t="str">
        <f t="shared" si="12"/>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equipRentalRateNo</v>
      </c>
      <c r="V170" s="4" t="str">
        <f>IF(LEN(Table2[[#This Row],[!Description]]) &gt; 0, Table2[[#This Row],[!Description]], "rg:None")</f>
        <v>CHECK WITH BUSINESS - IS THIS NEEDED</v>
      </c>
      <c r="W170" s="4" t="str">
        <f>IF(LEN(Table2[[#This Row],[!FK]])&gt;0,Table2[[#This Row],[!FK]],"rg:None")</f>
        <v>rg:None</v>
      </c>
      <c r="X170" s="15" t="str">
        <f>IF(LEN(concatif2(A:A,Table2[[#This Row],[!Table]],G:G,"Y",D:D,",")) &gt; 0,"rg:[ { 'req' : '"&amp;concatif2(A:A,Table2[[#This Row],[!Table]],G:G,"Y",D:D,"' }, { 'req': '")&amp;"'} ]","rg:[]")</f>
        <v>rg:[ { 'req' : 'id'} ]</v>
      </c>
      <c r="Y170" s="4" t="str">
        <f>IF(LEN(Table2[[#This Row],[!Unique]])&gt;0,"rg:True","rg:None")</f>
        <v>rg:None</v>
      </c>
    </row>
    <row r="171" spans="1:25" x14ac:dyDescent="0.3">
      <c r="A171" s="23" t="s">
        <v>241</v>
      </c>
      <c r="B171" s="3" t="s">
        <v>119</v>
      </c>
      <c r="C171" s="3"/>
      <c r="D171" s="3" t="s">
        <v>175</v>
      </c>
      <c r="E171" s="42" t="s">
        <v>432</v>
      </c>
      <c r="F171" s="3" t="s">
        <v>5</v>
      </c>
      <c r="G171" s="4"/>
      <c r="H171" s="4"/>
      <c r="I171" s="4" t="str">
        <f t="shared" si="12"/>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equipRentalRatePage</v>
      </c>
      <c r="V171" s="4" t="str">
        <f>IF(LEN(Table2[[#This Row],[!Description]]) &gt; 0, Table2[[#This Row],[!Description]], "rg:None")</f>
        <v>CHECK WITH BUSINESS - IS THIS NEEDED</v>
      </c>
      <c r="W171" s="4" t="str">
        <f>IF(LEN(Table2[[#This Row],[!FK]])&gt;0,Table2[[#This Row],[!FK]],"rg:None")</f>
        <v>rg:None</v>
      </c>
      <c r="X171" s="15" t="str">
        <f>IF(LEN(concatif2(A:A,Table2[[#This Row],[!Table]],G:G,"Y",D:D,",")) &gt; 0,"rg:[ { 'req' : '"&amp;concatif2(A:A,Table2[[#This Row],[!Table]],G:G,"Y",D:D,"' }, { 'req': '")&amp;"'} ]","rg:[]")</f>
        <v>rg:[ { 'req' : 'id'} ]</v>
      </c>
      <c r="Y171" s="4" t="str">
        <f>IF(LEN(Table2[[#This Row],[!Unique]])&gt;0,"rg:True","rg:None")</f>
        <v>rg:None</v>
      </c>
    </row>
    <row r="172" spans="1:25" x14ac:dyDescent="0.3">
      <c r="A172" s="23" t="s">
        <v>241</v>
      </c>
      <c r="B172" s="3" t="s">
        <v>119</v>
      </c>
      <c r="C172" s="3"/>
      <c r="D172" s="3" t="s">
        <v>176</v>
      </c>
      <c r="E172" s="42" t="s">
        <v>432</v>
      </c>
      <c r="F172" s="3" t="s">
        <v>5</v>
      </c>
      <c r="G172" s="4"/>
      <c r="H172" s="4"/>
      <c r="I172" s="4" t="str">
        <f t="shared" si="12"/>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v>
      </c>
      <c r="V172" s="4" t="str">
        <f>IF(LEN(Table2[[#This Row],[!Description]]) &gt; 0, Table2[[#This Row],[!Description]], "rg:None")</f>
        <v>CHECK WITH BUSINESS - IS THIS NEEDED</v>
      </c>
      <c r="W172" s="4" t="str">
        <f>IF(LEN(Table2[[#This Row],[!FK]])&gt;0,Table2[[#This Row],[!FK]],"rg:None")</f>
        <v>rg:None</v>
      </c>
      <c r="X172" s="15" t="str">
        <f>IF(LEN(concatif2(A:A,Table2[[#This Row],[!Table]],G:G,"Y",D:D,",")) &gt; 0,"rg:[ { 'req' : '"&amp;concatif2(A:A,Table2[[#This Row],[!Table]],G:G,"Y",D:D,"' }, { 'req': '")&amp;"'} ]","rg:[]")</f>
        <v>rg:[ { 'req' : 'id'} ]</v>
      </c>
      <c r="Y172" s="4" t="str">
        <f>IF(LEN(Table2[[#This Row],[!Unique]])&gt;0,"rg:True","rg:None")</f>
        <v>rg:None</v>
      </c>
    </row>
    <row r="173" spans="1:25" x14ac:dyDescent="0.3">
      <c r="A173" s="23" t="s">
        <v>241</v>
      </c>
      <c r="B173" s="3" t="s">
        <v>119</v>
      </c>
      <c r="C173" s="3"/>
      <c r="D173" s="3" t="s">
        <v>177</v>
      </c>
      <c r="E173" s="42" t="s">
        <v>432</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extendHours</v>
      </c>
      <c r="V173" s="4" t="str">
        <f>IF(LEN(Table2[[#This Row],[!Description]]) &gt; 0, Table2[[#This Row],[!Description]], "rg:None")</f>
        <v>CHECK WITH BUSINESS - IS THIS NEEDED</v>
      </c>
      <c r="W173" s="4" t="str">
        <f>IF(LEN(Table2[[#This Row],[!FK]])&gt;0,Table2[[#This Row],[!FK]],"rg:None")</f>
        <v>rg:None</v>
      </c>
      <c r="X173" s="15" t="str">
        <f>IF(LEN(concatif2(A:A,Table2[[#This Row],[!Table]],G:G,"Y",D:D,",")) &gt; 0,"rg:[ { 'req' : '"&amp;concatif2(A:A,Table2[[#This Row],[!Table]],G:G,"Y",D:D,"' }, { 'req': '")&amp;"'} ]","rg:[]")</f>
        <v>rg:[ { 'req' : 'id'} ]</v>
      </c>
      <c r="Y173" s="4" t="str">
        <f>IF(LEN(Table2[[#This Row],[!Unique]])&gt;0,"rg:True","rg:None")</f>
        <v>rg:None</v>
      </c>
    </row>
    <row r="174" spans="1:25" x14ac:dyDescent="0.3">
      <c r="A174" s="23" t="s">
        <v>241</v>
      </c>
      <c r="B174" s="3" t="s">
        <v>119</v>
      </c>
      <c r="C174" s="3"/>
      <c r="D174" s="3" t="s">
        <v>178</v>
      </c>
      <c r="E174" s="42" t="s">
        <v>432</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float</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maxHoursSub</v>
      </c>
      <c r="V174" s="4" t="str">
        <f>IF(LEN(Table2[[#This Row],[!Description]]) &gt; 0, Table2[[#This Row],[!Description]], "rg:None")</f>
        <v>CHECK WITH BUSINESS - IS THIS NEEDED</v>
      </c>
      <c r="W174" s="4" t="str">
        <f>IF(LEN(Table2[[#This Row],[!FK]])&gt;0,Table2[[#This Row],[!FK]],"rg:None")</f>
        <v>rg:None</v>
      </c>
      <c r="X174" s="15" t="str">
        <f>IF(LEN(concatif2(A:A,Table2[[#This Row],[!Table]],G:G,"Y",D:D,",")) &gt; 0,"rg:[ { 'req' : '"&amp;concatif2(A:A,Table2[[#This Row],[!Table]],G:G,"Y",D:D,"' }, { 'req': '")&amp;"'} ]","rg:[]")</f>
        <v>rg:[ { 'req' : 'id'} ]</v>
      </c>
      <c r="Y174" s="4" t="str">
        <f>IF(LEN(Table2[[#This Row],[!Unique]])&gt;0,"rg:True","rg:None")</f>
        <v>rg:None</v>
      </c>
    </row>
    <row r="175" spans="1:25" x14ac:dyDescent="0.3">
      <c r="A175" s="23" t="s">
        <v>241</v>
      </c>
      <c r="B175" s="70" t="s">
        <v>13</v>
      </c>
      <c r="C175" s="3"/>
      <c r="D175" s="70" t="s">
        <v>265</v>
      </c>
      <c r="E175" s="69" t="s">
        <v>433</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integer</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blocks</v>
      </c>
      <c r="V175"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5" s="4" t="str">
        <f>IF(LEN(Table2[[#This Row],[!FK]])&gt;0,Table2[[#This Row],[!FK]],"rg:None")</f>
        <v>rg:None</v>
      </c>
      <c r="X175" s="15" t="str">
        <f>IF(LEN(concatif2(A:A,Table2[[#This Row],[!Table]],G:G,"Y",D:D,",")) &gt; 0,"rg:[ { 'req' : '"&amp;concatif2(A:A,Table2[[#This Row],[!Table]],G:G,"Y",D:D,"' }, { 'req': '")&amp;"'} ]","rg:[]")</f>
        <v>rg:[ { 'req' : 'id'} ]</v>
      </c>
      <c r="Y175" s="4" t="str">
        <f>IF(LEN(Table2[[#This Row],[!Unique]])&gt;0,"rg:True","rg:None")</f>
        <v>rg:None</v>
      </c>
    </row>
    <row r="176" spans="1:25" x14ac:dyDescent="0.3">
      <c r="A176" s="23" t="s">
        <v>242</v>
      </c>
      <c r="B176" s="3" t="s">
        <v>4</v>
      </c>
      <c r="C176" s="3"/>
      <c r="D176" s="23" t="s">
        <v>242</v>
      </c>
      <c r="E176" s="69" t="s">
        <v>420</v>
      </c>
      <c r="F176" s="3" t="s">
        <v>5</v>
      </c>
      <c r="G176" s="4"/>
      <c r="H176" s="4"/>
      <c r="I176" s="4" t="str">
        <f t="shared" ref="I176:I204" si="13">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EquipmentAttachment</v>
      </c>
      <c r="V176" s="4" t="str">
        <f>IF(LEN(Table2[[#This Row],[!Description]]) &gt; 0, Table2[[#This Row],[!Description]], "rg:None")</f>
        <v>A list of Equipment Attachments for pieces of equipment that have them. In the BC Bid system, attachments are free form, but in this model will try to have a predefined attachments type list.</v>
      </c>
      <c r="W176" s="4" t="str">
        <f>IF(LEN(Table2[[#This Row],[!FK]])&gt;0,Table2[[#This Row],[!FK]],"rg:None")</f>
        <v>rg:None</v>
      </c>
      <c r="X176" s="15" t="str">
        <f>IF(LEN(concatif2(A:A,Table2[[#This Row],[!Table]],G:G,"Y",D:D,",")) &gt; 0,"rg:[ { 'req' : '"&amp;concatif2(A:A,Table2[[#This Row],[!Table]],G:G,"Y",D:D,"' }, { 'req': '")&amp;"'} ]","rg:[]")</f>
        <v>rg:[ { 'req' : 'id'} ]</v>
      </c>
      <c r="Y176" s="4" t="str">
        <f>IF(LEN(Table2[[#This Row],[!Unique]])&gt;0,"rg:True","rg:None")</f>
        <v>rg:None</v>
      </c>
    </row>
    <row r="177" spans="1:25" x14ac:dyDescent="0.3">
      <c r="A177" s="23" t="s">
        <v>242</v>
      </c>
      <c r="B177" s="3" t="s">
        <v>6</v>
      </c>
      <c r="C177" s="3"/>
      <c r="D177" s="3" t="s">
        <v>6</v>
      </c>
      <c r="E177" s="42" t="s">
        <v>427</v>
      </c>
      <c r="F177" s="3" t="s">
        <v>5</v>
      </c>
      <c r="G177" s="4" t="s">
        <v>70</v>
      </c>
      <c r="H177" s="4"/>
      <c r="I177" s="4" t="str">
        <f t="shared" si="13"/>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A system-generated unique identifier for an EquipmentAttachment</v>
      </c>
      <c r="W177" s="4" t="str">
        <f>IF(LEN(Table2[[#This Row],[!FK]])&gt;0,Table2[[#This Row],[!FK]],"rg:None")</f>
        <v>rg:None</v>
      </c>
      <c r="X177" s="15" t="str">
        <f>IF(LEN(concatif2(A:A,Table2[[#This Row],[!Table]],G:G,"Y",D:D,",")) &gt; 0,"rg:[ { 'req' : '"&amp;concatif2(A:A,Table2[[#This Row],[!Table]],G:G,"Y",D:D,"' }, { 'req': '")&amp;"'} ]","rg:[]")</f>
        <v>rg:[ { 'req' : 'id'} ]</v>
      </c>
      <c r="Y177" s="4" t="str">
        <f>IF(LEN(Table2[[#This Row],[!Unique]])&gt;0,"rg:True","rg:None")</f>
        <v>rg:None</v>
      </c>
    </row>
    <row r="178" spans="1:25" x14ac:dyDescent="0.3">
      <c r="A178" s="23" t="s">
        <v>242</v>
      </c>
      <c r="B178" s="3" t="s">
        <v>8</v>
      </c>
      <c r="C178" s="3"/>
      <c r="D178" s="23" t="s">
        <v>237</v>
      </c>
      <c r="E178" s="42"/>
      <c r="F178" s="23" t="s">
        <v>239</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equipment</v>
      </c>
      <c r="V178" s="4" t="str">
        <f>IF(LEN(Table2[[#This Row],[!Description]]) &gt; 0, Table2[[#This Row],[!Description]], "rg:None")</f>
        <v>rg:None</v>
      </c>
      <c r="W178" s="4" t="str">
        <f>IF(LEN(Table2[[#This Row],[!FK]])&gt;0,Table2[[#This Row],[!FK]],"rg:None")</f>
        <v>Equipment</v>
      </c>
      <c r="X178" s="15" t="str">
        <f>IF(LEN(concatif2(A:A,Table2[[#This Row],[!Table]],G:G,"Y",D:D,",")) &gt; 0,"rg:[ { 'req' : '"&amp;concatif2(A:A,Table2[[#This Row],[!Table]],G:G,"Y",D:D,"' }, { 'req': '")&amp;"'} ]","rg:[]")</f>
        <v>rg:[ { 'req' : 'id'} ]</v>
      </c>
      <c r="Y178" s="4" t="str">
        <f>IF(LEN(Table2[[#This Row],[!Unique]])&gt;0,"rg:True","rg:None")</f>
        <v>rg:None</v>
      </c>
    </row>
    <row r="179" spans="1:25" x14ac:dyDescent="0.3">
      <c r="A179" s="23" t="s">
        <v>242</v>
      </c>
      <c r="B179" s="3" t="s">
        <v>8</v>
      </c>
      <c r="C179" s="3"/>
      <c r="D179" s="23" t="s">
        <v>20</v>
      </c>
      <c r="E179" s="61"/>
      <c r="F179" s="23" t="s">
        <v>244</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type</v>
      </c>
      <c r="V179" s="4" t="str">
        <f>IF(LEN(Table2[[#This Row],[!Description]]) &gt; 0, Table2[[#This Row],[!Description]], "rg:None")</f>
        <v>rg:None</v>
      </c>
      <c r="W179" s="4" t="str">
        <f>IF(LEN(Table2[[#This Row],[!FK]])&gt;0,Table2[[#This Row],[!FK]],"rg:None")</f>
        <v>EquipmentAttachmentType</v>
      </c>
      <c r="X179" s="15" t="str">
        <f>IF(LEN(concatif2(A:A,Table2[[#This Row],[!Table]],G:G,"Y",D:D,",")) &gt; 0,"rg:[ { 'req' : '"&amp;concatif2(A:A,Table2[[#This Row],[!Table]],G:G,"Y",D:D,"' }, { 'req': '")&amp;"'} ]","rg:[]")</f>
        <v>rg:[ { 'req' : 'id'} ]</v>
      </c>
      <c r="Y179" s="4" t="str">
        <f>IF(LEN(Table2[[#This Row],[!Unique]])&gt;0,"rg:True","rg:None")</f>
        <v>rg:None</v>
      </c>
    </row>
    <row r="180" spans="1:25" x14ac:dyDescent="0.3">
      <c r="A180" s="23" t="s">
        <v>242</v>
      </c>
      <c r="B180" s="3" t="s">
        <v>13</v>
      </c>
      <c r="C180" s="3"/>
      <c r="D180" s="23" t="s">
        <v>243</v>
      </c>
      <c r="E180" s="69" t="s">
        <v>421</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integer</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seqNum</v>
      </c>
      <c r="V180" s="4" t="str">
        <f>IF(LEN(Table2[[#This Row],[!Description]]) &gt; 0, Table2[[#This Row],[!Description]], "rg:None")</f>
        <v>TO BE REMOVED - likely not needed. Will talk to business.</v>
      </c>
      <c r="W180" s="4" t="str">
        <f>IF(LEN(Table2[[#This Row],[!FK]])&gt;0,Table2[[#This Row],[!FK]],"rg:None")</f>
        <v>rg:None</v>
      </c>
      <c r="X180" s="15" t="str">
        <f>IF(LEN(concatif2(A:A,Table2[[#This Row],[!Table]],G:G,"Y",D:D,",")) &gt; 0,"rg:[ { 'req' : '"&amp;concatif2(A:A,Table2[[#This Row],[!Table]],G:G,"Y",D:D,"' }, { 'req': '")&amp;"'} ]","rg:[]")</f>
        <v>rg:[ { 'req' : 'id'} ]</v>
      </c>
      <c r="Y180" s="4" t="str">
        <f>IF(LEN(Table2[[#This Row],[!Unique]])&gt;0,"rg:True","rg:None")</f>
        <v>rg:None</v>
      </c>
    </row>
    <row r="181" spans="1:25" x14ac:dyDescent="0.3">
      <c r="A181" s="23" t="s">
        <v>242</v>
      </c>
      <c r="B181" s="3" t="s">
        <v>7</v>
      </c>
      <c r="C181" s="3">
        <v>255</v>
      </c>
      <c r="D181" s="23" t="s">
        <v>14</v>
      </c>
      <c r="E181" s="69" t="s">
        <v>422</v>
      </c>
      <c r="F181" s="3" t="s">
        <v>5</v>
      </c>
      <c r="G181" s="4"/>
      <c r="H181" s="4"/>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255</v>
      </c>
      <c r="U181" s="4" t="str">
        <f>IF(LEN(Table2[[#This Row],[!Name]]) &gt; 0, Table2[[#This Row],[!Name]], "rg:None")</f>
        <v>description</v>
      </c>
      <c r="V181" s="4" t="str">
        <f>IF(LEN(Table2[[#This Row],[!Description]]) &gt; 0, Table2[[#This Row],[!Description]], "rg:None")</f>
        <v>A description of the equipment attachment if the Equipment Attachment Type is insufficient.</v>
      </c>
      <c r="W181" s="4" t="str">
        <f>IF(LEN(Table2[[#This Row],[!FK]])&gt;0,Table2[[#This Row],[!FK]],"rg:None")</f>
        <v>rg:None</v>
      </c>
      <c r="X181" s="15" t="str">
        <f>IF(LEN(concatif2(A:A,Table2[[#This Row],[!Table]],G:G,"Y",D:D,",")) &gt; 0,"rg:[ { 'req' : '"&amp;concatif2(A:A,Table2[[#This Row],[!Table]],G:G,"Y",D:D,"' }, { 'req': '")&amp;"'} ]","rg:[]")</f>
        <v>rg:[ { 'req' : 'id'} ]</v>
      </c>
      <c r="Y181" s="4" t="str">
        <f>IF(LEN(Table2[[#This Row],[!Unique]])&gt;0,"rg:True","rg:None")</f>
        <v>rg:None</v>
      </c>
    </row>
    <row r="182" spans="1:25" x14ac:dyDescent="0.3">
      <c r="A182" s="23" t="s">
        <v>244</v>
      </c>
      <c r="B182" s="3" t="s">
        <v>4</v>
      </c>
      <c r="C182" s="3"/>
      <c r="D182" s="23" t="s">
        <v>244</v>
      </c>
      <c r="E182" s="69" t="s">
        <v>434</v>
      </c>
      <c r="F182" s="3" t="s">
        <v>5</v>
      </c>
      <c r="G182" s="4"/>
      <c r="H182" s="4"/>
      <c r="I182" s="4" t="str">
        <f t="shared" si="13"/>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EquipmentAttachmentType</v>
      </c>
      <c r="V182" s="4" t="str">
        <f>IF(LEN(Table2[[#This Row],[!Description]]) &gt; 0, Table2[[#This Row],[!Description]], "rg:None")</f>
        <v>A system-wide list of Equipment Attachment Types. Each Attachment connected to a piece of equipment needs a defined and selected attachment type.</v>
      </c>
      <c r="W182" s="4" t="str">
        <f>IF(LEN(Table2[[#This Row],[!FK]])&gt;0,Table2[[#This Row],[!FK]],"rg:None")</f>
        <v>rg:None</v>
      </c>
      <c r="X182" s="15" t="str">
        <f>IF(LEN(concatif2(A:A,Table2[[#This Row],[!Table]],G:G,"Y",D:D,",")) &gt; 0,"rg:[ { 'req' : '"&amp;concatif2(A:A,Table2[[#This Row],[!Table]],G:G,"Y",D:D,"' }, { 'req': '")&amp;"'} ]","rg:[]")</f>
        <v>rg:[ { 'req' : 'id'} ]</v>
      </c>
      <c r="Y182" s="4" t="str">
        <f>IF(LEN(Table2[[#This Row],[!Unique]])&gt;0,"rg:True","rg:None")</f>
        <v>rg:None</v>
      </c>
    </row>
    <row r="183" spans="1:25" x14ac:dyDescent="0.3">
      <c r="A183" s="23" t="s">
        <v>244</v>
      </c>
      <c r="B183" s="3" t="s">
        <v>6</v>
      </c>
      <c r="C183" s="3"/>
      <c r="D183" s="3" t="s">
        <v>6</v>
      </c>
      <c r="E183" s="42" t="str">
        <f>"A system-generated unique identifier for a "&amp;Table2[[#This Row],[!Table]]</f>
        <v>A system-generated unique identifier for a EquipmentAttachmentType</v>
      </c>
      <c r="F183" s="3" t="s">
        <v>5</v>
      </c>
      <c r="G183" s="4" t="s">
        <v>70</v>
      </c>
      <c r="H183" s="4"/>
      <c r="I183" s="4" t="str">
        <f t="shared" si="13"/>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EquipmentAttachmentType</v>
      </c>
      <c r="W183" s="4" t="str">
        <f>IF(LEN(Table2[[#This Row],[!FK]])&gt;0,Table2[[#This Row],[!FK]],"rg:None")</f>
        <v>rg:None</v>
      </c>
      <c r="X183" s="15" t="str">
        <f>IF(LEN(concatif2(A:A,Table2[[#This Row],[!Table]],G:G,"Y",D:D,",")) &gt; 0,"rg:[ { 'req' : '"&amp;concatif2(A:A,Table2[[#This Row],[!Table]],G:G,"Y",D:D,"' }, { 'req': '")&amp;"'} ]","rg:[]")</f>
        <v>rg:[ { 'req' : 'id'} ]</v>
      </c>
      <c r="Y183" s="4" t="str">
        <f>IF(LEN(Table2[[#This Row],[!Unique]])&gt;0,"rg:True","rg:None")</f>
        <v>rg:None</v>
      </c>
    </row>
    <row r="184" spans="1:25" x14ac:dyDescent="0.3">
      <c r="A184" s="23" t="s">
        <v>244</v>
      </c>
      <c r="B184" s="3" t="s">
        <v>7</v>
      </c>
      <c r="C184" s="3">
        <v>255</v>
      </c>
      <c r="D184" s="23" t="s">
        <v>66</v>
      </c>
      <c r="E184" s="69" t="s">
        <v>435</v>
      </c>
      <c r="F184" s="3" t="s">
        <v>5</v>
      </c>
      <c r="G184" s="20"/>
      <c r="H184" s="20"/>
      <c r="I184" s="4" t="str">
        <f t="shared" si="13"/>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255</v>
      </c>
      <c r="U184" s="4" t="str">
        <f>IF(LEN(Table2[[#This Row],[!Name]]) &gt; 0, Table2[[#This Row],[!Name]], "rg:None")</f>
        <v>code</v>
      </c>
      <c r="V184" s="4" t="str">
        <f>IF(LEN(Table2[[#This Row],[!Description]]) &gt; 0, Table2[[#This Row],[!Description]], "rg:None")</f>
        <v>CHECK WITH BUSINESS - IS THIS NEEDED - A unique but human-friendly code for the Equipment Attachment Type that can be displayed on screens with little screen real estate available.</v>
      </c>
      <c r="W184" s="4" t="str">
        <f>IF(LEN(Table2[[#This Row],[!FK]])&gt;0,Table2[[#This Row],[!FK]],"rg:None")</f>
        <v>rg:None</v>
      </c>
      <c r="X184" s="15" t="str">
        <f>IF(LEN(concatif2(A:A,Table2[[#This Row],[!Table]],G:G,"Y",D:D,",")) &gt; 0,"rg:[ { 'req' : '"&amp;concatif2(A:A,Table2[[#This Row],[!Table]],G:G,"Y",D:D,"' }, { 'req': '")&amp;"'} ]","rg:[]")</f>
        <v>rg:[ { 'req' : 'id'} ]</v>
      </c>
      <c r="Y184" s="4" t="str">
        <f>IF(LEN(Table2[[#This Row],[!Unique]])&gt;0,"rg:True","rg:None")</f>
        <v>rg:None</v>
      </c>
    </row>
    <row r="185" spans="1:25" x14ac:dyDescent="0.3">
      <c r="A185" s="23" t="s">
        <v>244</v>
      </c>
      <c r="B185" s="3" t="s">
        <v>7</v>
      </c>
      <c r="C185" s="3">
        <v>255</v>
      </c>
      <c r="D185" s="23" t="s">
        <v>14</v>
      </c>
      <c r="E185" s="69" t="s">
        <v>436</v>
      </c>
      <c r="F185" s="3" t="s">
        <v>5</v>
      </c>
      <c r="G185" s="20"/>
      <c r="H185" s="20"/>
      <c r="I185" s="4" t="str">
        <f t="shared" si="13"/>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255</v>
      </c>
      <c r="U185" s="4" t="str">
        <f>IF(LEN(Table2[[#This Row],[!Name]]) &gt; 0, Table2[[#This Row],[!Name]], "rg:None")</f>
        <v>description</v>
      </c>
      <c r="V185" s="4" t="str">
        <f>IF(LEN(Table2[[#This Row],[!Description]]) &gt; 0, Table2[[#This Row],[!Description]], "rg:None")</f>
        <v>The name of the equipment attachment type, as specified by the HETS Clerk creating the equipment type.</v>
      </c>
      <c r="W185" s="4" t="str">
        <f>IF(LEN(Table2[[#This Row],[!FK]])&gt;0,Table2[[#This Row],[!FK]],"rg:None")</f>
        <v>rg:None</v>
      </c>
      <c r="X185" s="15" t="str">
        <f>IF(LEN(concatif2(A:A,Table2[[#This Row],[!Table]],G:G,"Y",D:D,",")) &gt; 0,"rg:[ { 'req' : '"&amp;concatif2(A:A,Table2[[#This Row],[!Table]],G:G,"Y",D:D,"' }, { 'req': '")&amp;"'} ]","rg:[]")</f>
        <v>rg:[ { 'req' : 'id'} ]</v>
      </c>
      <c r="Y185" s="4" t="str">
        <f>IF(LEN(Table2[[#This Row],[!Unique]])&gt;0,"rg:True","rg:None")</f>
        <v>rg:None</v>
      </c>
    </row>
    <row r="186" spans="1:25" x14ac:dyDescent="0.3">
      <c r="A186" s="3" t="s">
        <v>194</v>
      </c>
      <c r="B186" s="3" t="s">
        <v>4</v>
      </c>
      <c r="C186" s="3"/>
      <c r="D186" s="3" t="s">
        <v>194</v>
      </c>
      <c r="E186" s="69" t="s">
        <v>437</v>
      </c>
      <c r="F186" s="3" t="s">
        <v>5</v>
      </c>
      <c r="G186" s="4"/>
      <c r="H186" s="4"/>
      <c r="I186" s="4" t="str">
        <f t="shared" si="13"/>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SeniorityAudit</v>
      </c>
      <c r="V186"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6" s="4" t="str">
        <f>IF(LEN(Table2[[#This Row],[!FK]])&gt;0,Table2[[#This Row],[!FK]],"rg:None")</f>
        <v>rg:None</v>
      </c>
      <c r="X186" s="15" t="str">
        <f>IF(LEN(concatif2(A:A,Table2[[#This Row],[!Table]],G:G,"Y",D:D,",")) &gt; 0,"rg:[ { 'req' : '"&amp;concatif2(A:A,Table2[[#This Row],[!Table]],G:G,"Y",D:D,"' }, { 'req': '")&amp;"'} ]","rg:[]")</f>
        <v>rg:[ { 'req' : 'id'} ]</v>
      </c>
      <c r="Y186" s="4" t="str">
        <f>IF(LEN(Table2[[#This Row],[!Unique]])&gt;0,"rg:True","rg:None")</f>
        <v>rg:None</v>
      </c>
    </row>
    <row r="187" spans="1:25" x14ac:dyDescent="0.3">
      <c r="A187" s="3" t="s">
        <v>194</v>
      </c>
      <c r="B187" s="3" t="s">
        <v>6</v>
      </c>
      <c r="C187" s="3"/>
      <c r="D187" s="3" t="s">
        <v>6</v>
      </c>
      <c r="E187" s="42" t="str">
        <f>"A system-generated unique identifier for a "&amp;Table2[[#This Row],[!Table]]</f>
        <v>A system-generated unique identifier for a SeniorityAudit</v>
      </c>
      <c r="F187" s="3" t="s">
        <v>5</v>
      </c>
      <c r="G187" s="4" t="s">
        <v>70</v>
      </c>
      <c r="H187" s="4"/>
      <c r="I187" s="4" t="str">
        <f t="shared" si="13"/>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 SeniorityAudit</v>
      </c>
      <c r="W187" s="4" t="str">
        <f>IF(LEN(Table2[[#This Row],[!FK]])&gt;0,Table2[[#This Row],[!FK]],"rg:None")</f>
        <v>rg:None</v>
      </c>
      <c r="X187" s="15" t="str">
        <f>IF(LEN(concatif2(A:A,Table2[[#This Row],[!Table]],G:G,"Y",D:D,",")) &gt; 0,"rg:[ { 'req' : '"&amp;concatif2(A:A,Table2[[#This Row],[!Table]],G:G,"Y",D:D,"' }, { 'req': '")&amp;"'} ]","rg:[]")</f>
        <v>rg:[ { 'req' : 'id'} ]</v>
      </c>
      <c r="Y187" s="4" t="str">
        <f>IF(LEN(Table2[[#This Row],[!Unique]])&gt;0,"rg:True","rg:None")</f>
        <v>rg:None</v>
      </c>
    </row>
    <row r="188" spans="1:25" x14ac:dyDescent="0.3">
      <c r="A188" s="3" t="s">
        <v>194</v>
      </c>
      <c r="B188" s="3" t="s">
        <v>12</v>
      </c>
      <c r="C188" s="3"/>
      <c r="D188" s="3" t="s">
        <v>185</v>
      </c>
      <c r="E188" s="69" t="s">
        <v>438</v>
      </c>
      <c r="F188" s="3" t="s">
        <v>5</v>
      </c>
      <c r="G188" s="4"/>
      <c r="H188" s="4"/>
      <c r="I188" s="4" t="str">
        <f t="shared" si="13"/>
        <v>Defs</v>
      </c>
      <c r="J188" s="4" t="str">
        <f>IF(Table2[[#This Row],[!Type]]=J$1, J$1,"rg:None")</f>
        <v>rg:None</v>
      </c>
      <c r="K188" s="4" t="str">
        <f>IF(Table2[[#This Row],[!Type]]=K$1, K$1,"rg:None")</f>
        <v>rg:None</v>
      </c>
      <c r="L188" s="4" t="str">
        <f>IF(Table2[[#This Row],[!Type]]=L$1, L$1,"rg:None")</f>
        <v>datetime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generatedTime</v>
      </c>
      <c r="V188" s="4" t="str">
        <f>IF(LEN(Table2[[#This Row],[!Description]]) &gt; 0, Table2[[#This Row],[!Description]], "rg:None")</f>
        <v>The effective starting date that these the Seniority data in this record went into effect.</v>
      </c>
      <c r="W188" s="4" t="str">
        <f>IF(LEN(Table2[[#This Row],[!FK]])&gt;0,Table2[[#This Row],[!FK]],"rg:None")</f>
        <v>rg:None</v>
      </c>
      <c r="X188" s="15" t="str">
        <f>IF(LEN(concatif2(A:A,Table2[[#This Row],[!Table]],G:G,"Y",D:D,",")) &gt; 0,"rg:[ { 'req' : '"&amp;concatif2(A:A,Table2[[#This Row],[!Table]],G:G,"Y",D:D,"' }, { 'req': '")&amp;"'} ]","rg:[]")</f>
        <v>rg:[ { 'req' : 'id'} ]</v>
      </c>
      <c r="Y188" s="4" t="str">
        <f>IF(LEN(Table2[[#This Row],[!Unique]])&gt;0,"rg:True","rg:None")</f>
        <v>rg:None</v>
      </c>
    </row>
    <row r="189" spans="1:25" x14ac:dyDescent="0.3">
      <c r="A189" s="3" t="s">
        <v>194</v>
      </c>
      <c r="B189" s="3" t="s">
        <v>8</v>
      </c>
      <c r="C189" s="3"/>
      <c r="D189" s="23" t="s">
        <v>230</v>
      </c>
      <c r="E189" s="42"/>
      <c r="F189" s="23" t="s">
        <v>198</v>
      </c>
      <c r="G189" s="4"/>
      <c r="H189" s="4"/>
      <c r="I189" s="4" t="str">
        <f t="shared" si="13"/>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localArea</v>
      </c>
      <c r="V189" s="4" t="str">
        <f>IF(LEN(Table2[[#This Row],[!Description]]) &gt; 0, Table2[[#This Row],[!Description]], "rg:None")</f>
        <v>rg:None</v>
      </c>
      <c r="W189" s="4" t="str">
        <f>IF(LEN(Table2[[#This Row],[!FK]])&gt;0,Table2[[#This Row],[!FK]],"rg:None")</f>
        <v>LocalArea</v>
      </c>
      <c r="X189" s="15" t="str">
        <f>IF(LEN(concatif2(A:A,Table2[[#This Row],[!Table]],G:G,"Y",D:D,",")) &gt; 0,"rg:[ { 'req' : '"&amp;concatif2(A:A,Table2[[#This Row],[!Table]],G:G,"Y",D:D,"' }, { 'req': '")&amp;"'} ]","rg:[]")</f>
        <v>rg:[ { 'req' : 'id'} ]</v>
      </c>
      <c r="Y189" s="4" t="str">
        <f>IF(LEN(Table2[[#This Row],[!Unique]])&gt;0,"rg:True","rg:None")</f>
        <v>rg:None</v>
      </c>
    </row>
    <row r="190" spans="1:25" x14ac:dyDescent="0.3">
      <c r="A190" s="3" t="s">
        <v>194</v>
      </c>
      <c r="B190" s="3" t="s">
        <v>8</v>
      </c>
      <c r="C190" s="3"/>
      <c r="D190" s="23" t="s">
        <v>237</v>
      </c>
      <c r="E190" s="42"/>
      <c r="F190" s="23" t="s">
        <v>239</v>
      </c>
      <c r="G190" s="4"/>
      <c r="H190" s="4"/>
      <c r="I190" s="4" t="str">
        <f t="shared" si="13"/>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equipment</v>
      </c>
      <c r="V190" s="4" t="str">
        <f>IF(LEN(Table2[[#This Row],[!Description]]) &gt; 0, Table2[[#This Row],[!Description]], "rg:None")</f>
        <v>rg:None</v>
      </c>
      <c r="W190" s="4" t="str">
        <f>IF(LEN(Table2[[#This Row],[!FK]])&gt;0,Table2[[#This Row],[!FK]],"rg:None")</f>
        <v>Equipment</v>
      </c>
      <c r="X190" s="15" t="str">
        <f>IF(LEN(concatif2(A:A,Table2[[#This Row],[!Table]],G:G,"Y",D:D,",")) &gt; 0,"rg:[ { 'req' : '"&amp;concatif2(A:A,Table2[[#This Row],[!Table]],G:G,"Y",D:D,"' }, { 'req': '")&amp;"'} ]","rg:[]")</f>
        <v>rg:[ { 'req' : 'id'} ]</v>
      </c>
      <c r="Y190" s="4" t="str">
        <f>IF(LEN(Table2[[#This Row],[!Unique]])&gt;0,"rg:True","rg:None")</f>
        <v>rg:None</v>
      </c>
    </row>
    <row r="191" spans="1:25" x14ac:dyDescent="0.3">
      <c r="A191" s="3" t="s">
        <v>194</v>
      </c>
      <c r="B191" s="3" t="s">
        <v>119</v>
      </c>
      <c r="C191" s="3"/>
      <c r="D191" s="23" t="s">
        <v>253</v>
      </c>
      <c r="E191" s="69" t="s">
        <v>445</v>
      </c>
      <c r="F191" s="3" t="s">
        <v>5</v>
      </c>
      <c r="G191" s="4"/>
      <c r="H191" s="4"/>
      <c r="I191" s="4" t="str">
        <f t="shared" si="13"/>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float</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blockNumber</v>
      </c>
      <c r="V191" s="4" t="str">
        <f>IF(LEN(Table2[[#This Row],[!Description]]) &gt; 0, Table2[[#This Row],[!Description]], "rg:None")</f>
        <v>The block number for the piece of equipment as calculated by the Seniority Algorthm for this equipment type in the local area. As currently defined by the business - 1, 2 or Open</v>
      </c>
      <c r="W191" s="4" t="str">
        <f>IF(LEN(Table2[[#This Row],[!FK]])&gt;0,Table2[[#This Row],[!FK]],"rg:None")</f>
        <v>rg:None</v>
      </c>
      <c r="X191" s="15" t="str">
        <f>IF(LEN(concatif2(A:A,Table2[[#This Row],[!Table]],G:G,"Y",D:D,",")) &gt; 0,"rg:[ { 'req' : '"&amp;concatif2(A:A,Table2[[#This Row],[!Table]],G:G,"Y",D:D,"' }, { 'req': '")&amp;"'} ]","rg:[]")</f>
        <v>rg:[ { 'req' : 'id'} ]</v>
      </c>
      <c r="Y191" s="4" t="str">
        <f>IF(LEN(Table2[[#This Row],[!Unique]])&gt;0,"rg:True","rg:None")</f>
        <v>rg:None</v>
      </c>
    </row>
    <row r="192" spans="1:25" x14ac:dyDescent="0.3">
      <c r="A192" s="3" t="s">
        <v>194</v>
      </c>
      <c r="B192" s="3" t="s">
        <v>7</v>
      </c>
      <c r="C192" s="3">
        <v>255</v>
      </c>
      <c r="D192" s="3" t="s">
        <v>152</v>
      </c>
      <c r="E192" s="59" t="s">
        <v>337</v>
      </c>
      <c r="F192" s="3" t="s">
        <v>5</v>
      </c>
      <c r="G192" s="4"/>
      <c r="H192" s="4"/>
      <c r="I192" s="4" t="str">
        <f t="shared" si="13"/>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255</v>
      </c>
      <c r="U192" s="4" t="str">
        <f>IF(LEN(Table2[[#This Row],[!Name]]) &gt; 0, Table2[[#This Row],[!Name]], "rg:None")</f>
        <v>equipCd</v>
      </c>
      <c r="V192"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192" s="4" t="str">
        <f>IF(LEN(Table2[[#This Row],[!FK]])&gt;0,Table2[[#This Row],[!FK]],"rg:None")</f>
        <v>rg:None</v>
      </c>
      <c r="X192" s="15" t="str">
        <f>IF(LEN(concatif2(A:A,Table2[[#This Row],[!Table]],G:G,"Y",D:D,",")) &gt; 0,"rg:[ { 'req' : '"&amp;concatif2(A:A,Table2[[#This Row],[!Table]],G:G,"Y",D:D,"' }, { 'req': '")&amp;"'} ]","rg:[]")</f>
        <v>rg:[ { 'req' : 'id'} ]</v>
      </c>
      <c r="Y192" s="4" t="str">
        <f>IF(LEN(Table2[[#This Row],[!Unique]])&gt;0,"rg:True","rg:None")</f>
        <v>rg:None</v>
      </c>
    </row>
    <row r="193" spans="1:25" x14ac:dyDescent="0.3">
      <c r="A193" s="3" t="s">
        <v>194</v>
      </c>
      <c r="B193" s="3" t="s">
        <v>8</v>
      </c>
      <c r="C193" s="3"/>
      <c r="D193" s="23" t="s">
        <v>195</v>
      </c>
      <c r="E193" s="42"/>
      <c r="F193" s="23" t="s">
        <v>187</v>
      </c>
      <c r="G193" s="4"/>
      <c r="H193" s="4"/>
      <c r="I193" s="4" t="str">
        <f t="shared" si="13"/>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owner</v>
      </c>
      <c r="V193" s="4" t="str">
        <f>IF(LEN(Table2[[#This Row],[!Description]]) &gt; 0, Table2[[#This Row],[!Description]], "rg:None")</f>
        <v>rg:None</v>
      </c>
      <c r="W193" s="4" t="str">
        <f>IF(LEN(Table2[[#This Row],[!FK]])&gt;0,Table2[[#This Row],[!FK]],"rg:None")</f>
        <v>Owner</v>
      </c>
      <c r="X193" s="15" t="str">
        <f>IF(LEN(concatif2(A:A,Table2[[#This Row],[!Table]],G:G,"Y",D:D,",")) &gt; 0,"rg:[ { 'req' : '"&amp;concatif2(A:A,Table2[[#This Row],[!Table]],G:G,"Y",D:D,"' }, { 'req': '")&amp;"'} ]","rg:[]")</f>
        <v>rg:[ { 'req' : 'id'} ]</v>
      </c>
      <c r="Y193" s="4" t="str">
        <f>IF(LEN(Table2[[#This Row],[!Unique]])&gt;0,"rg:True","rg:None")</f>
        <v>rg:None</v>
      </c>
    </row>
    <row r="194" spans="1:25" x14ac:dyDescent="0.3">
      <c r="A194" s="3" t="s">
        <v>194</v>
      </c>
      <c r="B194" s="3" t="s">
        <v>7</v>
      </c>
      <c r="C194" s="3">
        <v>255</v>
      </c>
      <c r="D194" s="3" t="s">
        <v>186</v>
      </c>
      <c r="E194" s="69" t="s">
        <v>439</v>
      </c>
      <c r="F194" s="3" t="s">
        <v>5</v>
      </c>
      <c r="G194" s="4"/>
      <c r="H194" s="4"/>
      <c r="I194" s="4" t="str">
        <f t="shared" si="13"/>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string</v>
      </c>
      <c r="S194" s="4" t="str">
        <f>IF(Table2[[#This Row],[!Type]]=S$1, S$1,"rg:None")</f>
        <v>rg:None</v>
      </c>
      <c r="T194" s="4">
        <f>IF(LEN(Table2[[#This Row],[!Length]]) &gt; 0, Table2[[#This Row],[!Length]], "rg:None")</f>
        <v>255</v>
      </c>
      <c r="U194" s="4" t="str">
        <f>IF(LEN(Table2[[#This Row],[!Name]]) &gt; 0, Table2[[#This Row],[!Name]], "rg:None")</f>
        <v>ownerName</v>
      </c>
      <c r="V194" s="4" t="str">
        <f>IF(LEN(Table2[[#This Row],[!Description]]) &gt; 0, Table2[[#This Row],[!Description]], "rg:None")</f>
        <v>The name of the owner from the Owner Record, captured at the time this record was created.</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3" t="s">
        <v>194</v>
      </c>
      <c r="B195" s="3" t="s">
        <v>119</v>
      </c>
      <c r="C195" s="3"/>
      <c r="D195" s="3" t="s">
        <v>165</v>
      </c>
      <c r="E195" s="69" t="s">
        <v>440</v>
      </c>
      <c r="F195" s="3" t="s">
        <v>5</v>
      </c>
      <c r="G195" s="4"/>
      <c r="H195" s="4"/>
      <c r="I195" s="4" t="str">
        <f t="shared" si="13"/>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seniority</v>
      </c>
      <c r="V195"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rg:None</v>
      </c>
    </row>
    <row r="196" spans="1:25" x14ac:dyDescent="0.3">
      <c r="A196" s="3" t="s">
        <v>194</v>
      </c>
      <c r="B196" s="3" t="s">
        <v>119</v>
      </c>
      <c r="C196" s="3"/>
      <c r="D196" s="3" t="s">
        <v>171</v>
      </c>
      <c r="E196" s="69" t="s">
        <v>441</v>
      </c>
      <c r="F196" s="3" t="s">
        <v>5</v>
      </c>
      <c r="G196" s="4"/>
      <c r="H196" s="4"/>
      <c r="I196" s="4" t="str">
        <f t="shared" si="13"/>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YTD</v>
      </c>
      <c r="V196" s="4" t="str">
        <f>IF(LEN(Table2[[#This Row],[!Description]]) &gt; 0, Table2[[#This Row],[!Description]], "rg:None")</f>
        <v>Sum of hours in the current fiscal year's time cards captured at the time this record was created.</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3" t="s">
        <v>194</v>
      </c>
      <c r="B197" s="3" t="s">
        <v>119</v>
      </c>
      <c r="C197" s="3"/>
      <c r="D197" s="67" t="s">
        <v>363</v>
      </c>
      <c r="E197" s="66" t="s">
        <v>364</v>
      </c>
      <c r="F197" s="3" t="s">
        <v>5</v>
      </c>
      <c r="G197" s="4"/>
      <c r="H197" s="4"/>
      <c r="I197" s="4" t="str">
        <f t="shared" si="13"/>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serviceHoursLastYear</v>
      </c>
      <c r="V197" s="4" t="str">
        <f>IF(LEN(Table2[[#This Row],[!Description]]) &gt; 0, Table2[[#This Row],[!Description]], "rg:None")</f>
        <v>Number of hours of service by this piece of equipment in the previous fiscal year</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3" t="s">
        <v>194</v>
      </c>
      <c r="B198" s="3" t="s">
        <v>119</v>
      </c>
      <c r="C198" s="3"/>
      <c r="D198" s="67" t="s">
        <v>365</v>
      </c>
      <c r="E198" s="66" t="s">
        <v>366</v>
      </c>
      <c r="F198" s="3" t="s">
        <v>5</v>
      </c>
      <c r="G198" s="4"/>
      <c r="H198" s="4"/>
      <c r="I198" s="4" t="str">
        <f t="shared" si="13"/>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serviceHoursTwoYearsAgo</v>
      </c>
      <c r="V198" s="4" t="str">
        <f>IF(LEN(Table2[[#This Row],[!Description]]) &gt; 0, Table2[[#This Row],[!Description]], "rg:None")</f>
        <v>Number of hours of service by this piece of equipment in the fiscal year before the last one - e.g. if current year is FY2018 then hours in FY2016</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3" t="s">
        <v>194</v>
      </c>
      <c r="B199" s="3" t="s">
        <v>119</v>
      </c>
      <c r="C199" s="3"/>
      <c r="D199" s="67" t="s">
        <v>368</v>
      </c>
      <c r="E199" s="66" t="s">
        <v>367</v>
      </c>
      <c r="F199" s="3" t="s">
        <v>5</v>
      </c>
      <c r="G199" s="4"/>
      <c r="H199" s="4"/>
      <c r="I199" s="4" t="str">
        <f t="shared" si="13"/>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serviceHoursThreeYearsAgo</v>
      </c>
      <c r="V199" s="4" t="str">
        <f>IF(LEN(Table2[[#This Row],[!Description]]) &gt; 0, Table2[[#This Row],[!Description]], "rg:None")</f>
        <v>Number of hours of service by this piece of equipment in the fiscal year three years ago - e.g. if current year is FY2018 then hours in FY2015</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3" t="s">
        <v>194</v>
      </c>
      <c r="B200" s="3" t="s">
        <v>119</v>
      </c>
      <c r="C200" s="3"/>
      <c r="D200" s="3" t="s">
        <v>155</v>
      </c>
      <c r="E200" s="69" t="s">
        <v>443</v>
      </c>
      <c r="F200" s="3" t="s">
        <v>5</v>
      </c>
      <c r="G200" s="4"/>
      <c r="H200" s="4"/>
      <c r="I200" s="4" t="str">
        <f t="shared" si="1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cycleHrsWrk</v>
      </c>
      <c r="V200" s="4" t="str">
        <f>IF(LEN(Table2[[#This Row],[!Description]]) &gt; 0, Table2[[#This Row],[!Description]], "rg:None")</f>
        <v>TO BE REMOVED - Not sure why this would be needed</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3" t="s">
        <v>194</v>
      </c>
      <c r="B201" s="3" t="s">
        <v>7</v>
      </c>
      <c r="C201" s="3">
        <v>255</v>
      </c>
      <c r="D201" s="3" t="s">
        <v>156</v>
      </c>
      <c r="E201" s="69" t="s">
        <v>444</v>
      </c>
      <c r="F201" s="3" t="s">
        <v>5</v>
      </c>
      <c r="G201" s="4"/>
      <c r="H201" s="4"/>
      <c r="I201" s="4" t="str">
        <f t="shared" si="13"/>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255</v>
      </c>
      <c r="U201" s="4" t="str">
        <f>IF(LEN(Table2[[#This Row],[!Name]]) &gt; 0, Table2[[#This Row],[!Name]], "rg:None")</f>
        <v>frozenOut</v>
      </c>
      <c r="V201" s="4" t="str">
        <f>IF(LEN(Table2[[#This Row],[!Description]]) &gt; 0, Table2[[#This Row],[!Description]], "rg:None")</f>
        <v>TO BE REMOVED - not to be supported in new version of HETS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3" t="s">
        <v>194</v>
      </c>
      <c r="B202" s="3" t="s">
        <v>8</v>
      </c>
      <c r="C202" s="3"/>
      <c r="D202" s="23" t="s">
        <v>196</v>
      </c>
      <c r="E202" s="69" t="s">
        <v>443</v>
      </c>
      <c r="F202" s="3" t="s">
        <v>163</v>
      </c>
      <c r="G202" s="4"/>
      <c r="H202" s="4"/>
      <c r="I202" s="4" t="str">
        <f t="shared" si="13"/>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ref</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project</v>
      </c>
      <c r="V202" s="4" t="str">
        <f>IF(LEN(Table2[[#This Row],[!Description]]) &gt; 0, Table2[[#This Row],[!Description]], "rg:None")</f>
        <v>TO BE REMOVED - Not sure why this would be needed</v>
      </c>
      <c r="W202" s="4" t="str">
        <f>IF(LEN(Table2[[#This Row],[!FK]])&gt;0,Table2[[#This Row],[!FK]],"rg:None")</f>
        <v>Project</v>
      </c>
      <c r="X202" s="15" t="str">
        <f>IF(LEN(concatif2(A:A,Table2[[#This Row],[!Table]],G:G,"Y",D:D,",")) &gt; 0,"rg:[ { 'req' : '"&amp;concatif2(A:A,Table2[[#This Row],[!Table]],G:G,"Y",D:D,"' }, { 'req': '")&amp;"'} ]","rg:[]")</f>
        <v>rg:[ { 'req' : 'id'} ]</v>
      </c>
      <c r="Y202" s="4" t="str">
        <f>IF(LEN(Table2[[#This Row],[!Unique]])&gt;0,"rg:True","rg:None")</f>
        <v>rg:None</v>
      </c>
    </row>
    <row r="203" spans="1:25" x14ac:dyDescent="0.3">
      <c r="A203" s="3" t="s">
        <v>194</v>
      </c>
      <c r="B203" s="3" t="s">
        <v>7</v>
      </c>
      <c r="C203" s="3">
        <v>255</v>
      </c>
      <c r="D203" s="3" t="s">
        <v>168</v>
      </c>
      <c r="E203" s="69" t="s">
        <v>443</v>
      </c>
      <c r="F203" s="3" t="s">
        <v>5</v>
      </c>
      <c r="G203" s="4"/>
      <c r="H203" s="4"/>
      <c r="I203" s="4" t="str">
        <f t="shared" si="13"/>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255</v>
      </c>
      <c r="U203" s="4" t="str">
        <f>IF(LEN(Table2[[#This Row],[!Name]]) &gt; 0, Table2[[#This Row],[!Name]], "rg:None")</f>
        <v>working</v>
      </c>
      <c r="V203" s="4" t="str">
        <f>IF(LEN(Table2[[#This Row],[!Description]]) &gt; 0, Table2[[#This Row],[!Description]], "rg:None")</f>
        <v>TO BE REMOVED - Not sure why this would be needed</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3" t="s">
        <v>194</v>
      </c>
      <c r="B204" s="3" t="s">
        <v>7</v>
      </c>
      <c r="C204" s="3">
        <v>255</v>
      </c>
      <c r="D204" s="3" t="s">
        <v>169</v>
      </c>
      <c r="E204" s="69" t="s">
        <v>443</v>
      </c>
      <c r="F204" s="3" t="s">
        <v>5</v>
      </c>
      <c r="G204" s="4"/>
      <c r="H204" s="4"/>
      <c r="I204" s="4" t="str">
        <f t="shared" si="13"/>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255</v>
      </c>
      <c r="U204" s="4" t="str">
        <f>IF(LEN(Table2[[#This Row],[!Name]]) &gt; 0, Table2[[#This Row],[!Name]], "rg:None")</f>
        <v>yearEndReg</v>
      </c>
      <c r="V204" s="4" t="str">
        <f>IF(LEN(Table2[[#This Row],[!Description]]) &gt; 0, Table2[[#This Row],[!Description]], "rg:None")</f>
        <v>TO BE REMOVED - Not sure why this would be needed</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3" t="s">
        <v>187</v>
      </c>
      <c r="B205" s="3" t="s">
        <v>4</v>
      </c>
      <c r="C205" s="3"/>
      <c r="D205" s="3" t="s">
        <v>187</v>
      </c>
      <c r="E205" s="69" t="s">
        <v>446</v>
      </c>
      <c r="F205" s="3" t="s">
        <v>5</v>
      </c>
      <c r="G205" s="4"/>
      <c r="H205" s="4"/>
      <c r="I205" s="4" t="str">
        <f t="shared" ref="I205:I222" si="14">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list of Owners of equipment.</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3" t="s">
        <v>187</v>
      </c>
      <c r="B206" s="3" t="s">
        <v>6</v>
      </c>
      <c r="C206" s="3"/>
      <c r="D206" s="3" t="s">
        <v>6</v>
      </c>
      <c r="E206" s="42" t="str">
        <f>"A system-generated unique identifier for a "&amp;Table2[[#This Row],[!Table]]</f>
        <v>A system-generated unique identifier for a Owner</v>
      </c>
      <c r="F206" s="3" t="s">
        <v>5</v>
      </c>
      <c r="G206" s="4" t="s">
        <v>70</v>
      </c>
      <c r="H206" s="4"/>
      <c r="I206" s="4" t="str">
        <f t="shared" si="14"/>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x14ac:dyDescent="0.3">
      <c r="A207" s="3" t="s">
        <v>187</v>
      </c>
      <c r="B207" s="3" t="s">
        <v>7</v>
      </c>
      <c r="C207" s="3">
        <v>255</v>
      </c>
      <c r="D207" s="70" t="s">
        <v>447</v>
      </c>
      <c r="E207" s="69" t="s">
        <v>448</v>
      </c>
      <c r="F207" s="3" t="s">
        <v>5</v>
      </c>
      <c r="G207" s="4"/>
      <c r="H207" s="4"/>
      <c r="I207" s="4" t="str">
        <f t="shared" si="14"/>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255</v>
      </c>
      <c r="U207" s="4" t="str">
        <f>IF(LEN(Table2[[#This Row],[!Name]]) &gt; 0, Table2[[#This Row],[!Name]], "rg:None")</f>
        <v>ownerCodePrefix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5" t="str">
        <f>IF(LEN(concatif2(A:A,Table2[[#This Row],[!Table]],G:G,"Y",D:D,",")) &gt; 0,"rg:[ { 'req' : '"&amp;concatif2(A:A,Table2[[#This Row],[!Table]],G:G,"Y",D:D,"' }, { 'req': '")&amp;"'} ]","rg:[]")</f>
        <v>rg:[ { 'req' : 'id'} ]</v>
      </c>
      <c r="Y207" s="4" t="str">
        <f>IF(LEN(Table2[[#This Row],[!Unique]])&gt;0,"rg:True","rg:None")</f>
        <v>rg:None</v>
      </c>
    </row>
    <row r="208" spans="1:25" x14ac:dyDescent="0.3">
      <c r="A208" s="3" t="s">
        <v>187</v>
      </c>
      <c r="B208" s="3" t="s">
        <v>7</v>
      </c>
      <c r="C208" s="3">
        <v>255</v>
      </c>
      <c r="D208" s="3" t="s">
        <v>188</v>
      </c>
      <c r="E208" s="69" t="s">
        <v>449</v>
      </c>
      <c r="F208" s="3" t="s">
        <v>5</v>
      </c>
      <c r="G208" s="4"/>
      <c r="H208" s="4"/>
      <c r="I208" s="4" t="str">
        <f t="shared" si="14"/>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255</v>
      </c>
      <c r="U208" s="4" t="str">
        <f>IF(LEN(Table2[[#This Row],[!Name]]) &gt; 0, Table2[[#This Row],[!Name]], "rg:None")</f>
        <v>ownerFirstName</v>
      </c>
      <c r="V208" s="4" t="str">
        <f>IF(LEN(Table2[[#This Row],[!Description]]) &gt; 0, Table2[[#This Row],[!Description]], "rg:None")</f>
        <v>The first name of the owner.</v>
      </c>
      <c r="W208" s="4" t="str">
        <f>IF(LEN(Table2[[#This Row],[!FK]])&gt;0,Table2[[#This Row],[!FK]],"rg:None")</f>
        <v>rg:None</v>
      </c>
      <c r="X208" s="15" t="str">
        <f>IF(LEN(concatif2(A:A,Table2[[#This Row],[!Table]],G:G,"Y",D:D,",")) &gt; 0,"rg:[ { 'req' : '"&amp;concatif2(A:A,Table2[[#This Row],[!Table]],G:G,"Y",D:D,"' }, { 'req': '")&amp;"'} ]","rg:[]")</f>
        <v>rg:[ { 'req' : 'id'} ]</v>
      </c>
      <c r="Y208" s="4" t="str">
        <f>IF(LEN(Table2[[#This Row],[!Unique]])&gt;0,"rg:True","rg:None")</f>
        <v>rg:None</v>
      </c>
    </row>
    <row r="209" spans="1:25" x14ac:dyDescent="0.3">
      <c r="A209" s="3" t="s">
        <v>187</v>
      </c>
      <c r="B209" s="3" t="s">
        <v>7</v>
      </c>
      <c r="C209" s="3">
        <v>255</v>
      </c>
      <c r="D209" s="3" t="s">
        <v>189</v>
      </c>
      <c r="E209" s="69" t="s">
        <v>450</v>
      </c>
      <c r="F209" s="3" t="s">
        <v>5</v>
      </c>
      <c r="G209" s="4"/>
      <c r="H209" s="4"/>
      <c r="I209" s="4" t="str">
        <f t="shared" si="14"/>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255</v>
      </c>
      <c r="U209" s="4" t="str">
        <f>IF(LEN(Table2[[#This Row],[!Name]]) &gt; 0, Table2[[#This Row],[!Name]], "rg:None")</f>
        <v>ownerLastName</v>
      </c>
      <c r="V209" s="4" t="str">
        <f>IF(LEN(Table2[[#This Row],[!Description]]) &gt; 0, Table2[[#This Row],[!Description]], "rg:None")</f>
        <v>The last name of the owner.</v>
      </c>
      <c r="W209" s="4" t="str">
        <f>IF(LEN(Table2[[#This Row],[!FK]])&gt;0,Table2[[#This Row],[!FK]],"rg:None")</f>
        <v>rg:None</v>
      </c>
      <c r="X209" s="15" t="str">
        <f>IF(LEN(concatif2(A:A,Table2[[#This Row],[!Table]],G:G,"Y",D:D,",")) &gt; 0,"rg:[ { 'req' : '"&amp;concatif2(A:A,Table2[[#This Row],[!Table]],G:G,"Y",D:D,"' }, { 'req': '")&amp;"'} ]","rg:[]")</f>
        <v>rg:[ { 'req' : 'id'} ]</v>
      </c>
      <c r="Y209" s="4" t="str">
        <f>IF(LEN(Table2[[#This Row],[!Unique]])&gt;0,"rg:True","rg:None")</f>
        <v>rg:None</v>
      </c>
    </row>
    <row r="210" spans="1:25" x14ac:dyDescent="0.3">
      <c r="A210" s="3" t="s">
        <v>187</v>
      </c>
      <c r="B210" s="27" t="s">
        <v>8</v>
      </c>
      <c r="C210" s="19"/>
      <c r="D210" s="27" t="s">
        <v>258</v>
      </c>
      <c r="E210" s="31" t="s">
        <v>259</v>
      </c>
      <c r="F210" s="30" t="s">
        <v>223</v>
      </c>
      <c r="G210" s="20"/>
      <c r="H210" s="20"/>
      <c r="I210" s="4" t="str">
        <f t="shared" si="14"/>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ref</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primaryContact</v>
      </c>
      <c r="V210" s="4" t="str">
        <f>IF(LEN(Table2[[#This Row],[!Description]]) &gt; 0, Table2[[#This Row],[!Description]], "rg:None")</f>
        <v>Link to the designated Primary Contact.</v>
      </c>
      <c r="W210" s="4" t="str">
        <f>IF(LEN(Table2[[#This Row],[!FK]])&gt;0,Table2[[#This Row],[!FK]],"rg:None")</f>
        <v>Contact</v>
      </c>
      <c r="X210" s="15" t="str">
        <f>IF(LEN(concatif2(A:A,Table2[[#This Row],[!Table]],G:G,"Y",D:D,",")) &gt; 0,"rg:[ { 'req' : '"&amp;concatif2(A:A,Table2[[#This Row],[!Table]],G:G,"Y",D:D,"' }, { 'req': '")&amp;"'} ]","rg:[]")</f>
        <v>rg:[ { 'req' : 'id'} ]</v>
      </c>
      <c r="Y210" s="4" t="str">
        <f>IF(LEN(Table2[[#This Row],[!Unique]])&gt;0,"rg:True","rg:None")</f>
        <v>rg:None</v>
      </c>
    </row>
    <row r="211" spans="1:25" x14ac:dyDescent="0.3">
      <c r="A211" s="3" t="s">
        <v>187</v>
      </c>
      <c r="B211" s="70" t="s">
        <v>8</v>
      </c>
      <c r="C211" s="3"/>
      <c r="D211" s="70" t="s">
        <v>230</v>
      </c>
      <c r="E211" s="42"/>
      <c r="F211" s="70" t="s">
        <v>198</v>
      </c>
      <c r="G211" s="4"/>
      <c r="H211" s="4"/>
      <c r="I211" s="4" t="str">
        <f t="shared" si="14"/>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ref</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localArea</v>
      </c>
      <c r="V211" s="4" t="str">
        <f>IF(LEN(Table2[[#This Row],[!Description]]) &gt; 0, Table2[[#This Row],[!Description]], "rg:None")</f>
        <v>rg:None</v>
      </c>
      <c r="W211" s="4" t="str">
        <f>IF(LEN(Table2[[#This Row],[!FK]])&gt;0,Table2[[#This Row],[!FK]],"rg:None")</f>
        <v>LocalArea</v>
      </c>
      <c r="X211" s="15" t="str">
        <f>IF(LEN(concatif2(A:A,Table2[[#This Row],[!Table]],G:G,"Y",D:D,",")) &gt; 0,"rg:[ { 'req' : '"&amp;concatif2(A:A,Table2[[#This Row],[!Table]],G:G,"Y",D:D,"' }, { 'req': '")&amp;"'} ]","rg:[]")</f>
        <v>rg:[ { 'req' : 'id'} ]</v>
      </c>
      <c r="Y211" s="4" t="str">
        <f>IF(LEN(Table2[[#This Row],[!Unique]])&gt;0,"rg:True","rg:None")</f>
        <v>rg:None</v>
      </c>
    </row>
    <row r="212" spans="1:25" x14ac:dyDescent="0.3">
      <c r="A212" s="3" t="s">
        <v>187</v>
      </c>
      <c r="B212" s="70" t="s">
        <v>9</v>
      </c>
      <c r="C212" s="3"/>
      <c r="D212" s="70" t="s">
        <v>451</v>
      </c>
      <c r="E212" s="69" t="s">
        <v>452</v>
      </c>
      <c r="F212" s="3" t="s">
        <v>5</v>
      </c>
      <c r="G212" s="4"/>
      <c r="H212" s="4"/>
      <c r="I212" s="4" t="str">
        <f t="shared" si="14"/>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isMaintenanceContractor</v>
      </c>
      <c r="V212" s="4" t="str">
        <f>IF(LEN(Table2[[#This Row],[!Description]]) &gt; 0, Table2[[#This Row],[!Description]], "rg:None")</f>
        <v>True if the owner is contracted by MOTI to handle Maintenance activities in the area - e.g. provided services in address unscheduled issues on the roads in the area.</v>
      </c>
      <c r="W212" s="4" t="str">
        <f>IF(LEN(Table2[[#This Row],[!FK]])&gt;0,Table2[[#This Row],[!FK]],"rg:None")</f>
        <v>rg:None</v>
      </c>
      <c r="X212" s="15" t="str">
        <f>IF(LEN(concatif2(A:A,Table2[[#This Row],[!Table]],G:G,"Y",D:D,",")) &gt; 0,"rg:[ { 'req' : '"&amp;concatif2(A:A,Table2[[#This Row],[!Table]],G:G,"Y",D:D,"' }, { 'req': '")&amp;"'} ]","rg:[]")</f>
        <v>rg:[ { 'req' : 'id'} ]</v>
      </c>
      <c r="Y212" s="4" t="str">
        <f>IF(LEN(Table2[[#This Row],[!Unique]])&gt;0,"rg:True","rg:None")</f>
        <v>rg:None</v>
      </c>
    </row>
    <row r="213" spans="1:25" x14ac:dyDescent="0.3">
      <c r="A213" s="3" t="s">
        <v>187</v>
      </c>
      <c r="B213" s="3" t="s">
        <v>7</v>
      </c>
      <c r="C213" s="3">
        <v>255</v>
      </c>
      <c r="D213" s="3" t="s">
        <v>154</v>
      </c>
      <c r="E213" s="69" t="s">
        <v>453</v>
      </c>
      <c r="F213" s="3" t="s">
        <v>5</v>
      </c>
      <c r="G213" s="4"/>
      <c r="H213" s="4"/>
      <c r="I213" s="4" t="str">
        <f t="shared" si="14"/>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255</v>
      </c>
      <c r="U213" s="4" t="str">
        <f>IF(LEN(Table2[[#This Row],[!Name]]) &gt; 0, Table2[[#This Row],[!Name]], "rg:None")</f>
        <v>comment</v>
      </c>
      <c r="V213" s="4" t="str">
        <f>IF(LEN(Table2[[#This Row],[!Description]]) &gt; 0, Table2[[#This Row],[!Description]], "rg:None")</f>
        <v>TO BE REMOVED - replaced with Notes</v>
      </c>
      <c r="W213" s="4" t="str">
        <f>IF(LEN(Table2[[#This Row],[!FK]])&gt;0,Table2[[#This Row],[!FK]],"rg:None")</f>
        <v>rg:None</v>
      </c>
      <c r="X213" s="15" t="str">
        <f>IF(LEN(concatif2(A:A,Table2[[#This Row],[!Table]],G:G,"Y",D:D,",")) &gt; 0,"rg:[ { 'req' : '"&amp;concatif2(A:A,Table2[[#This Row],[!Table]],G:G,"Y",D:D,"' }, { 'req': '")&amp;"'} ]","rg:[]")</f>
        <v>rg:[ { 'req' : 'id'} ]</v>
      </c>
      <c r="Y213" s="4" t="str">
        <f>IF(LEN(Table2[[#This Row],[!Unique]])&gt;0,"rg:True","rg:None")</f>
        <v>rg:None</v>
      </c>
    </row>
    <row r="214" spans="1:25" x14ac:dyDescent="0.3">
      <c r="A214" s="3" t="s">
        <v>187</v>
      </c>
      <c r="B214" s="3" t="s">
        <v>13</v>
      </c>
      <c r="C214" s="3"/>
      <c r="D214" s="3" t="s">
        <v>190</v>
      </c>
      <c r="E214" s="69" t="s">
        <v>454</v>
      </c>
      <c r="F214" s="3" t="s">
        <v>5</v>
      </c>
      <c r="G214" s="4"/>
      <c r="H214" s="4"/>
      <c r="I214" s="4" t="str">
        <f t="shared" si="14"/>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integer</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WCBNum</v>
      </c>
      <c r="V214" s="4" t="str">
        <f>IF(LEN(Table2[[#This Row],[!Description]]) &gt; 0, Table2[[#This Row],[!Description]], "rg:None")</f>
        <v>TO BE REMOVED - not maintained by HETS Clerks</v>
      </c>
      <c r="W214" s="4" t="str">
        <f>IF(LEN(Table2[[#This Row],[!FK]])&gt;0,Table2[[#This Row],[!FK]],"rg:None")</f>
        <v>rg:None</v>
      </c>
      <c r="X214" s="15" t="str">
        <f>IF(LEN(concatif2(A:A,Table2[[#This Row],[!Table]],G:G,"Y",D:D,",")) &gt; 0,"rg:[ { 'req' : '"&amp;concatif2(A:A,Table2[[#This Row],[!Table]],G:G,"Y",D:D,"' }, { 'req': '")&amp;"'} ]","rg:[]")</f>
        <v>rg:[ { 'req' : 'id'} ]</v>
      </c>
      <c r="Y214" s="4" t="str">
        <f>IF(LEN(Table2[[#This Row],[!Unique]])&gt;0,"rg:True","rg:None")</f>
        <v>rg:None</v>
      </c>
    </row>
    <row r="215" spans="1:25" x14ac:dyDescent="0.3">
      <c r="A215" s="3" t="s">
        <v>187</v>
      </c>
      <c r="B215" s="23" t="s">
        <v>12</v>
      </c>
      <c r="C215" s="3"/>
      <c r="D215" s="23" t="s">
        <v>231</v>
      </c>
      <c r="E215" s="69" t="s">
        <v>455</v>
      </c>
      <c r="F215" s="3" t="s">
        <v>5</v>
      </c>
      <c r="G215" s="4"/>
      <c r="H215" s="4"/>
      <c r="I215" s="4" t="str">
        <f t="shared" si="14"/>
        <v>Defs</v>
      </c>
      <c r="J215" s="4" t="str">
        <f>IF(Table2[[#This Row],[!Type]]=J$1, J$1,"rg:None")</f>
        <v>rg:None</v>
      </c>
      <c r="K215" s="4" t="str">
        <f>IF(Table2[[#This Row],[!Type]]=K$1, K$1,"rg:None")</f>
        <v>rg:None</v>
      </c>
      <c r="L215" s="4" t="str">
        <f>IF(Table2[[#This Row],[!Type]]=L$1, L$1,"rg:None")</f>
        <v>datetime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WCBExpiryDate</v>
      </c>
      <c r="V215" s="4" t="str">
        <f>IF(LEN(Table2[[#This Row],[!Description]]) &gt; 0, Table2[[#This Row],[!Description]], "rg:None")</f>
        <v>The expiration of the owner's current WCB permit.</v>
      </c>
      <c r="W215" s="4" t="str">
        <f>IF(LEN(Table2[[#This Row],[!FK]])&gt;0,Table2[[#This Row],[!FK]],"rg:None")</f>
        <v>rg:None</v>
      </c>
      <c r="X215" s="15" t="str">
        <f>IF(LEN(concatif2(A:A,Table2[[#This Row],[!Table]],G:G,"Y",D:D,",")) &gt; 0,"rg:[ { 'req' : '"&amp;concatif2(A:A,Table2[[#This Row],[!Table]],G:G,"Y",D:D,"' }, { 'req': '")&amp;"'} ]","rg:[]")</f>
        <v>rg:[ { 'req' : 'id'} ]</v>
      </c>
      <c r="Y215" s="4" t="str">
        <f>IF(LEN(Table2[[#This Row],[!Unique]])&gt;0,"rg:True","rg:None")</f>
        <v>rg:None</v>
      </c>
    </row>
    <row r="216" spans="1:25" x14ac:dyDescent="0.3">
      <c r="A216" s="3" t="s">
        <v>187</v>
      </c>
      <c r="B216" s="3" t="s">
        <v>7</v>
      </c>
      <c r="C216" s="3">
        <v>255</v>
      </c>
      <c r="D216" s="3" t="s">
        <v>191</v>
      </c>
      <c r="E216" s="69" t="s">
        <v>454</v>
      </c>
      <c r="F216" s="3" t="s">
        <v>5</v>
      </c>
      <c r="G216" s="4"/>
      <c r="H216" s="4"/>
      <c r="I216" s="4" t="str">
        <f t="shared" si="1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255</v>
      </c>
      <c r="U216" s="4" t="str">
        <f>IF(LEN(Table2[[#This Row],[!Name]]) &gt; 0, Table2[[#This Row],[!Name]], "rg:None")</f>
        <v>CGLCompany</v>
      </c>
      <c r="V216" s="4" t="str">
        <f>IF(LEN(Table2[[#This Row],[!Description]]) &gt; 0, Table2[[#This Row],[!Description]], "rg:None")</f>
        <v>TO BE REMOVED - not maintained by HETS Clerks</v>
      </c>
      <c r="W216" s="4" t="str">
        <f>IF(LEN(Table2[[#This Row],[!FK]])&gt;0,Table2[[#This Row],[!FK]],"rg:None")</f>
        <v>rg:None</v>
      </c>
      <c r="X216" s="15" t="str">
        <f>IF(LEN(concatif2(A:A,Table2[[#This Row],[!Table]],G:G,"Y",D:D,",")) &gt; 0,"rg:[ { 'req' : '"&amp;concatif2(A:A,Table2[[#This Row],[!Table]],G:G,"Y",D:D,"' }, { 'req': '")&amp;"'} ]","rg:[]")</f>
        <v>rg:[ { 'req' : 'id'} ]</v>
      </c>
      <c r="Y216" s="4" t="str">
        <f>IF(LEN(Table2[[#This Row],[!Unique]])&gt;0,"rg:True","rg:None")</f>
        <v>rg:None</v>
      </c>
    </row>
    <row r="217" spans="1:25" x14ac:dyDescent="0.3">
      <c r="A217" s="3" t="s">
        <v>187</v>
      </c>
      <c r="B217" s="3" t="s">
        <v>7</v>
      </c>
      <c r="C217" s="3">
        <v>255</v>
      </c>
      <c r="D217" s="3" t="s">
        <v>192</v>
      </c>
      <c r="E217" s="69" t="s">
        <v>454</v>
      </c>
      <c r="F217" s="3" t="s">
        <v>5</v>
      </c>
      <c r="G217" s="4"/>
      <c r="H217" s="4"/>
      <c r="I217" s="4" t="str">
        <f t="shared" si="1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255</v>
      </c>
      <c r="U217" s="4" t="str">
        <f>IF(LEN(Table2[[#This Row],[!Name]]) &gt; 0, Table2[[#This Row],[!Name]], "rg:None")</f>
        <v>CGLPolicy</v>
      </c>
      <c r="V217" s="4" t="str">
        <f>IF(LEN(Table2[[#This Row],[!Description]]) &gt; 0, Table2[[#This Row],[!Description]], "rg:None")</f>
        <v>TO BE REMOVED - not maintained by HETS Clerks</v>
      </c>
      <c r="W217" s="4" t="str">
        <f>IF(LEN(Table2[[#This Row],[!FK]])&gt;0,Table2[[#This Row],[!FK]],"rg:None")</f>
        <v>rg:None</v>
      </c>
      <c r="X217" s="15" t="str">
        <f>IF(LEN(concatif2(A:A,Table2[[#This Row],[!Table]],G:G,"Y",D:D,",")) &gt; 0,"rg:[ { 'req' : '"&amp;concatif2(A:A,Table2[[#This Row],[!Table]],G:G,"Y",D:D,"' }, { 'req': '")&amp;"'} ]","rg:[]")</f>
        <v>rg:[ { 'req' : 'id'} ]</v>
      </c>
      <c r="Y217" s="4" t="str">
        <f>IF(LEN(Table2[[#This Row],[!Unique]])&gt;0,"rg:True","rg:None")</f>
        <v>rg:None</v>
      </c>
    </row>
    <row r="218" spans="1:25" x14ac:dyDescent="0.3">
      <c r="A218" s="3" t="s">
        <v>187</v>
      </c>
      <c r="B218" s="23" t="s">
        <v>12</v>
      </c>
      <c r="C218" s="3"/>
      <c r="D218" s="23" t="s">
        <v>232</v>
      </c>
      <c r="E218" s="69" t="s">
        <v>454</v>
      </c>
      <c r="F218" s="3" t="s">
        <v>5</v>
      </c>
      <c r="G218" s="4"/>
      <c r="H218" s="4"/>
      <c r="I218" s="4" t="str">
        <f t="shared" si="14"/>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CGLStartDate</v>
      </c>
      <c r="V218" s="4" t="str">
        <f>IF(LEN(Table2[[#This Row],[!Description]]) &gt; 0, Table2[[#This Row],[!Description]], "rg:None")</f>
        <v>TO BE REMOVED - not maintained by HETS Clerks</v>
      </c>
      <c r="W218" s="4" t="str">
        <f>IF(LEN(Table2[[#This Row],[!FK]])&gt;0,Table2[[#This Row],[!FK]],"rg:None")</f>
        <v>rg:None</v>
      </c>
      <c r="X218" s="15" t="str">
        <f>IF(LEN(concatif2(A:A,Table2[[#This Row],[!Table]],G:G,"Y",D:D,",")) &gt; 0,"rg:[ { 'req' : '"&amp;concatif2(A:A,Table2[[#This Row],[!Table]],G:G,"Y",D:D,"' }, { 'req': '")&amp;"'} ]","rg:[]")</f>
        <v>rg:[ { 'req' : 'id'} ]</v>
      </c>
      <c r="Y218" s="4" t="str">
        <f>IF(LEN(Table2[[#This Row],[!Unique]])&gt;0,"rg:True","rg:None")</f>
        <v>rg:None</v>
      </c>
    </row>
    <row r="219" spans="1:25" x14ac:dyDescent="0.3">
      <c r="A219" s="3" t="s">
        <v>187</v>
      </c>
      <c r="B219" s="23" t="s">
        <v>12</v>
      </c>
      <c r="C219" s="3"/>
      <c r="D219" s="23" t="s">
        <v>233</v>
      </c>
      <c r="E219" s="69" t="s">
        <v>456</v>
      </c>
      <c r="F219" s="3" t="s">
        <v>5</v>
      </c>
      <c r="G219" s="4"/>
      <c r="H219" s="4"/>
      <c r="I219" s="4" t="str">
        <f t="shared" si="14"/>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5" t="str">
        <f>IF(LEN(concatif2(A:A,Table2[[#This Row],[!Table]],G:G,"Y",D:D,",")) &gt; 0,"rg:[ { 'req' : '"&amp;concatif2(A:A,Table2[[#This Row],[!Table]],G:G,"Y",D:D,"' }, { 'req': '")&amp;"'} ]","rg:[]")</f>
        <v>rg:[ { 'req' : 'id'} ]</v>
      </c>
      <c r="Y219" s="4" t="str">
        <f>IF(LEN(Table2[[#This Row],[!Unique]])&gt;0,"rg:True","rg:None")</f>
        <v>rg:None</v>
      </c>
    </row>
    <row r="220" spans="1:25" x14ac:dyDescent="0.3">
      <c r="A220" s="3" t="s">
        <v>187</v>
      </c>
      <c r="B220" s="3" t="s">
        <v>7</v>
      </c>
      <c r="C220" s="3">
        <v>255</v>
      </c>
      <c r="D220" s="70" t="s">
        <v>338</v>
      </c>
      <c r="E220" s="69" t="s">
        <v>457</v>
      </c>
      <c r="F220" s="3" t="s">
        <v>5</v>
      </c>
      <c r="G220" s="4"/>
      <c r="H220" s="4"/>
      <c r="I220" s="4" t="str">
        <f t="shared" si="1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255</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5" t="str">
        <f>IF(LEN(concatif2(A:A,Table2[[#This Row],[!Table]],G:G,"Y",D:D,",")) &gt; 0,"rg:[ { 'req' : '"&amp;concatif2(A:A,Table2[[#This Row],[!Table]],G:G,"Y",D:D,"' }, { 'req': '")&amp;"'} ]","rg:[]")</f>
        <v>rg:[ { 'req' : 'id'} ]</v>
      </c>
      <c r="Y220" s="4" t="str">
        <f>IF(LEN(Table2[[#This Row],[!Unique]])&gt;0,"rg:True","rg:None")</f>
        <v>rg:None</v>
      </c>
    </row>
    <row r="221" spans="1:25" x14ac:dyDescent="0.3">
      <c r="A221" s="3" t="s">
        <v>187</v>
      </c>
      <c r="B221" s="3" t="s">
        <v>7</v>
      </c>
      <c r="C221" s="3">
        <v>255</v>
      </c>
      <c r="D221" s="70" t="s">
        <v>369</v>
      </c>
      <c r="E221" s="69" t="s">
        <v>458</v>
      </c>
      <c r="F221" s="3" t="s">
        <v>5</v>
      </c>
      <c r="G221" s="4"/>
      <c r="H221" s="4"/>
      <c r="I221" s="4" t="str">
        <f t="shared" si="14"/>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255</v>
      </c>
      <c r="U221" s="4" t="str">
        <f>IF(LEN(Table2[[#This Row],[!Name]]) &gt; 0, Table2[[#This Row],[!Name]], "rg:None")</f>
        <v>archiveCode</v>
      </c>
      <c r="V221" s="4" t="str">
        <f>IF(LEN(Table2[[#This Row],[!Description]]) &gt; 0, Table2[[#This Row],[!Description]], "rg:None")</f>
        <v>A coded reason for why an owner record has been moved to Archived.</v>
      </c>
      <c r="W221" s="4" t="str">
        <f>IF(LEN(Table2[[#This Row],[!FK]])&gt;0,Table2[[#This Row],[!FK]],"rg:None")</f>
        <v>rg:None</v>
      </c>
      <c r="X221" s="15" t="str">
        <f>IF(LEN(concatif2(A:A,Table2[[#This Row],[!Table]],G:G,"Y",D:D,",")) &gt; 0,"rg:[ { 'req' : '"&amp;concatif2(A:A,Table2[[#This Row],[!Table]],G:G,"Y",D:D,"' }, { 'req': '")&amp;"'} ]","rg:[]")</f>
        <v>rg:[ { 'req' : 'id'} ]</v>
      </c>
      <c r="Y221" s="4" t="str">
        <f>IF(LEN(Table2[[#This Row],[!Unique]])&gt;0,"rg:True","rg:None")</f>
        <v>rg:None</v>
      </c>
    </row>
    <row r="222" spans="1:25" x14ac:dyDescent="0.3">
      <c r="A222" s="3" t="s">
        <v>187</v>
      </c>
      <c r="B222" s="3" t="s">
        <v>7</v>
      </c>
      <c r="C222" s="3">
        <v>2048</v>
      </c>
      <c r="D222" s="3" t="s">
        <v>172</v>
      </c>
      <c r="E222" s="69" t="s">
        <v>459</v>
      </c>
      <c r="F222" s="3" t="s">
        <v>5</v>
      </c>
      <c r="G222" s="4"/>
      <c r="H222" s="4"/>
      <c r="I222" s="4" t="str">
        <f t="shared" si="14"/>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5" t="str">
        <f>IF(LEN(concatif2(A:A,Table2[[#This Row],[!Table]],G:G,"Y",D:D,",")) &gt; 0,"rg:[ { 'req' : '"&amp;concatif2(A:A,Table2[[#This Row],[!Table]],G:G,"Y",D:D,"' }, { 'req': '")&amp;"'} ]","rg:[]")</f>
        <v>rg:[ { 'req' : 'id'} ]</v>
      </c>
      <c r="Y222" s="4" t="str">
        <f>IF(LEN(Table2[[#This Row],[!Unique]])&gt;0,"rg:True","rg:None")</f>
        <v>rg:None</v>
      </c>
    </row>
    <row r="223" spans="1:25" x14ac:dyDescent="0.3">
      <c r="A223" s="24" t="s">
        <v>187</v>
      </c>
      <c r="B223" s="24" t="s">
        <v>19</v>
      </c>
      <c r="C223" s="19"/>
      <c r="D223" s="24" t="s">
        <v>235</v>
      </c>
      <c r="E223" s="60"/>
      <c r="F223" s="23" t="s">
        <v>223</v>
      </c>
      <c r="G223" s="20"/>
      <c r="H223" s="20"/>
      <c r="I223" s="4" t="str">
        <f t="shared" ref="I223:I227" si="15">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5" t="str">
        <f>IF(LEN(concatif2(A:A,Table2[[#This Row],[!Table]],G:G,"Y",D:D,",")) &gt; 0,"rg:[ { 'req' : '"&amp;concatif2(A:A,Table2[[#This Row],[!Table]],G:G,"Y",D:D,"' }, { 'req': '")&amp;"'} ]","rg:[]")</f>
        <v>rg:[ { 'req' : 'id'} ]</v>
      </c>
      <c r="Y223" s="4" t="str">
        <f>IF(LEN(Table2[[#This Row],[!Unique]])&gt;0,"rg:True","rg:None")</f>
        <v>rg:None</v>
      </c>
    </row>
    <row r="224" spans="1:25" x14ac:dyDescent="0.3">
      <c r="A224" s="24" t="s">
        <v>187</v>
      </c>
      <c r="B224" s="24" t="s">
        <v>19</v>
      </c>
      <c r="C224" s="19"/>
      <c r="D224" s="24" t="s">
        <v>213</v>
      </c>
      <c r="E224" s="60"/>
      <c r="F224" s="25" t="s">
        <v>193</v>
      </c>
      <c r="G224" s="20"/>
      <c r="H224" s="20"/>
      <c r="I224" s="4" t="str">
        <f t="shared" si="1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5" t="str">
        <f>IF(LEN(concatif2(A:A,Table2[[#This Row],[!Table]],G:G,"Y",D:D,",")) &gt; 0,"rg:[ { 'req' : '"&amp;concatif2(A:A,Table2[[#This Row],[!Table]],G:G,"Y",D:D,"' }, { 'req': '")&amp;"'} ]","rg:[]")</f>
        <v>rg:[ { 'req' : 'id'} ]</v>
      </c>
      <c r="Y224" s="4" t="str">
        <f>IF(LEN(Table2[[#This Row],[!Unique]])&gt;0,"rg:True","rg:None")</f>
        <v>rg:None</v>
      </c>
    </row>
    <row r="225" spans="1:25" x14ac:dyDescent="0.3">
      <c r="A225" s="24" t="s">
        <v>187</v>
      </c>
      <c r="B225" s="24" t="s">
        <v>19</v>
      </c>
      <c r="C225" s="19"/>
      <c r="D225" s="24" t="s">
        <v>234</v>
      </c>
      <c r="E225" s="60"/>
      <c r="F225" s="22" t="s">
        <v>207</v>
      </c>
      <c r="G225" s="20"/>
      <c r="H225" s="20"/>
      <c r="I225" s="4" t="str">
        <f t="shared" si="1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5" t="str">
        <f>IF(LEN(concatif2(A:A,Table2[[#This Row],[!Table]],G:G,"Y",D:D,",")) &gt; 0,"rg:[ { 'req' : '"&amp;concatif2(A:A,Table2[[#This Row],[!Table]],G:G,"Y",D:D,"' }, { 'req': '")&amp;"'} ]","rg:[]")</f>
        <v>rg:[ { 'req' : 'id'} ]</v>
      </c>
      <c r="Y225" s="4" t="str">
        <f>IF(LEN(Table2[[#This Row],[!Unique]])&gt;0,"rg:True","rg:None")</f>
        <v>rg:None</v>
      </c>
    </row>
    <row r="226" spans="1:25" x14ac:dyDescent="0.3">
      <c r="A226" s="24" t="s">
        <v>187</v>
      </c>
      <c r="B226" s="24" t="s">
        <v>19</v>
      </c>
      <c r="C226" s="19"/>
      <c r="D226" s="24" t="s">
        <v>236</v>
      </c>
      <c r="E226" s="60"/>
      <c r="F226" s="23" t="s">
        <v>209</v>
      </c>
      <c r="G226" s="20"/>
      <c r="H226" s="20"/>
      <c r="I226" s="4" t="str">
        <f t="shared" si="15"/>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5" t="str">
        <f>IF(LEN(concatif2(A:A,Table2[[#This Row],[!Table]],G:G,"Y",D:D,",")) &gt; 0,"rg:[ { 'req' : '"&amp;concatif2(A:A,Table2[[#This Row],[!Table]],G:G,"Y",D:D,"' }, { 'req': '")&amp;"'} ]","rg:[]")</f>
        <v>rg:[ { 'req' : 'id'} ]</v>
      </c>
      <c r="Y226" s="4" t="str">
        <f>IF(LEN(Table2[[#This Row],[!Unique]])&gt;0,"rg:True","rg:None")</f>
        <v>rg:None</v>
      </c>
    </row>
    <row r="227" spans="1:25" x14ac:dyDescent="0.3">
      <c r="A227" s="24" t="s">
        <v>187</v>
      </c>
      <c r="B227" s="24" t="s">
        <v>19</v>
      </c>
      <c r="C227" s="19"/>
      <c r="D227" s="24" t="s">
        <v>238</v>
      </c>
      <c r="E227" s="60"/>
      <c r="F227" s="23" t="s">
        <v>239</v>
      </c>
      <c r="G227" s="20"/>
      <c r="H227" s="20"/>
      <c r="I227" s="4" t="str">
        <f t="shared" si="15"/>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5" t="str">
        <f>IF(LEN(concatif2(A:A,Table2[[#This Row],[!Table]],G:G,"Y",D:D,",")) &gt; 0,"rg:[ { 'req' : '"&amp;concatif2(A:A,Table2[[#This Row],[!Table]],G:G,"Y",D:D,"' }, { 'req': '")&amp;"'} ]","rg:[]")</f>
        <v>rg:[ { 'req' : 'id'} ]</v>
      </c>
      <c r="Y227" s="4" t="str">
        <f>IF(LEN(Table2[[#This Row],[!Unique]])&gt;0,"rg:True","rg:None")</f>
        <v>rg:None</v>
      </c>
    </row>
    <row r="228" spans="1:25" x14ac:dyDescent="0.3">
      <c r="A228" s="22" t="s">
        <v>223</v>
      </c>
      <c r="B228" s="3" t="s">
        <v>4</v>
      </c>
      <c r="C228" s="3"/>
      <c r="D228" s="22" t="s">
        <v>223</v>
      </c>
      <c r="E228" s="42" t="s">
        <v>460</v>
      </c>
      <c r="F228" s="3" t="s">
        <v>5</v>
      </c>
      <c r="G228" s="4"/>
      <c r="H228" s="4"/>
      <c r="I228" s="5" t="str">
        <f t="shared" ref="I228:I247" si="16">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Contact</v>
      </c>
      <c r="V228" s="4" t="str">
        <f>IF(LEN(Table2[[#This Row],[!Description]]) &gt; 0, Table2[[#This Row],[!Description]], "rg:None")</f>
        <v>A table of contacts related to various entities in the system. FK fields are used to link contacts to records in the system.</v>
      </c>
      <c r="W228" s="4" t="str">
        <f>IF(LEN(Table2[[#This Row],[!FK]])&gt;0,Table2[[#This Row],[!FK]],"rg:None")</f>
        <v>rg:None</v>
      </c>
      <c r="X228" s="15" t="str">
        <f>IF(LEN(concatif2(A:A,Table2[[#This Row],[!Table]],G:G,"Y",D:D,",")) &gt; 0,"rg:[ { 'req' : '"&amp;concatif2(A:A,Table2[[#This Row],[!Table]],G:G,"Y",D:D,"' }, { 'req': '")&amp;"'} ]","rg:[]")</f>
        <v>rg:[ { 'req' : 'id' }, { 'req': 'givenName' }, { 'req': 'surname' }, { 'req': 'role'} ]</v>
      </c>
      <c r="Y228" s="4" t="str">
        <f>IF(LEN(Table2[[#This Row],[!Unique]])&gt;0,"rg:True","rg:None")</f>
        <v>rg:None</v>
      </c>
    </row>
    <row r="229" spans="1:25" x14ac:dyDescent="0.3">
      <c r="A229" s="22" t="s">
        <v>223</v>
      </c>
      <c r="B229" s="3" t="s">
        <v>6</v>
      </c>
      <c r="C229" s="3"/>
      <c r="D229" s="3" t="s">
        <v>6</v>
      </c>
      <c r="E229" s="42" t="s">
        <v>461</v>
      </c>
      <c r="F229" s="3" t="s">
        <v>5</v>
      </c>
      <c r="G229" s="4" t="s">
        <v>70</v>
      </c>
      <c r="H229" s="71" t="s">
        <v>70</v>
      </c>
      <c r="I229" s="5" t="str">
        <f t="shared" si="16"/>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Contact</v>
      </c>
      <c r="W229" s="4" t="str">
        <f>IF(LEN(Table2[[#This Row],[!FK]])&gt;0,Table2[[#This Row],[!FK]],"rg:None")</f>
        <v>rg:None</v>
      </c>
      <c r="X229" s="15" t="str">
        <f>IF(LEN(concatif2(A:A,Table2[[#This Row],[!Table]],G:G,"Y",D:D,",")) &gt; 0,"rg:[ { 'req' : '"&amp;concatif2(A:A,Table2[[#This Row],[!Table]],G:G,"Y",D:D,"' }, { 'req': '")&amp;"'} ]","rg:[]")</f>
        <v>rg:[ { 'req' : 'id' }, { 'req': 'givenName' }, { 'req': 'surname' }, { 'req': 'role'} ]</v>
      </c>
      <c r="Y229" s="4" t="str">
        <f>IF(LEN(Table2[[#This Row],[!Unique]])&gt;0,"rg:True","rg:None")</f>
        <v>rg:True</v>
      </c>
    </row>
    <row r="230" spans="1:25" x14ac:dyDescent="0.3">
      <c r="A230" s="22" t="s">
        <v>223</v>
      </c>
      <c r="B230" s="3" t="s">
        <v>7</v>
      </c>
      <c r="C230" s="3">
        <v>50</v>
      </c>
      <c r="D230" s="3" t="s">
        <v>16</v>
      </c>
      <c r="E230" s="42" t="s">
        <v>211</v>
      </c>
      <c r="F230" s="3" t="s">
        <v>5</v>
      </c>
      <c r="G230" s="71" t="s">
        <v>70</v>
      </c>
      <c r="H230" s="71"/>
      <c r="I230" s="5" t="str">
        <f t="shared" si="1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givenName</v>
      </c>
      <c r="V230" s="4" t="str">
        <f>IF(LEN(Table2[[#This Row],[!Description]]) &gt; 0, Table2[[#This Row],[!Description]], "rg:None")</f>
        <v>The given name of the contact.</v>
      </c>
      <c r="W230" s="4" t="str">
        <f>IF(LEN(Table2[[#This Row],[!FK]])&gt;0,Table2[[#This Row],[!FK]],"rg:None")</f>
        <v>rg:None</v>
      </c>
      <c r="X230" s="15" t="str">
        <f>IF(LEN(concatif2(A:A,Table2[[#This Row],[!Table]],G:G,"Y",D:D,",")) &gt; 0,"rg:[ { 'req' : '"&amp;concatif2(A:A,Table2[[#This Row],[!Table]],G:G,"Y",D:D,"' }, { 'req': '")&amp;"'} ]","rg:[]")</f>
        <v>rg:[ { 'req' : 'id' }, { 'req': 'givenName' }, { 'req': 'surname' }, { 'req': 'role'} ]</v>
      </c>
      <c r="Y230" s="4" t="str">
        <f>IF(LEN(Table2[[#This Row],[!Unique]])&gt;0,"rg:True","rg:None")</f>
        <v>rg:None</v>
      </c>
    </row>
    <row r="231" spans="1:25" x14ac:dyDescent="0.3">
      <c r="A231" s="22" t="s">
        <v>223</v>
      </c>
      <c r="B231" s="3" t="s">
        <v>7</v>
      </c>
      <c r="C231" s="3">
        <v>50</v>
      </c>
      <c r="D231" s="3" t="s">
        <v>17</v>
      </c>
      <c r="E231" s="42" t="s">
        <v>212</v>
      </c>
      <c r="F231" s="3" t="s">
        <v>5</v>
      </c>
      <c r="G231" s="71" t="s">
        <v>70</v>
      </c>
      <c r="H231" s="71"/>
      <c r="I231" s="5" t="str">
        <f t="shared" si="1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50</v>
      </c>
      <c r="U231" s="4" t="str">
        <f>IF(LEN(Table2[[#This Row],[!Name]]) &gt; 0, Table2[[#This Row],[!Name]], "rg:None")</f>
        <v>surname</v>
      </c>
      <c r="V231" s="4" t="str">
        <f>IF(LEN(Table2[[#This Row],[!Description]]) &gt; 0, Table2[[#This Row],[!Description]], "rg:None")</f>
        <v>The surname of the contact.</v>
      </c>
      <c r="W231" s="4" t="str">
        <f>IF(LEN(Table2[[#This Row],[!FK]])&gt;0,Table2[[#This Row],[!FK]],"rg:None")</f>
        <v>rg:None</v>
      </c>
      <c r="X231" s="15" t="str">
        <f>IF(LEN(concatif2(A:A,Table2[[#This Row],[!Table]],G:G,"Y",D:D,",")) &gt; 0,"rg:[ { 'req' : '"&amp;concatif2(A:A,Table2[[#This Row],[!Table]],G:G,"Y",D:D,"' }, { 'req': '")&amp;"'} ]","rg:[]")</f>
        <v>rg:[ { 'req' : 'id' }, { 'req': 'givenName' }, { 'req': 'surname' }, { 'req': 'role'} ]</v>
      </c>
      <c r="Y231" s="4" t="str">
        <f>IF(LEN(Table2[[#This Row],[!Unique]])&gt;0,"rg:True","rg:None")</f>
        <v>rg:None</v>
      </c>
    </row>
    <row r="232" spans="1:25" x14ac:dyDescent="0.3">
      <c r="A232" s="22" t="s">
        <v>223</v>
      </c>
      <c r="B232" s="3" t="s">
        <v>7</v>
      </c>
      <c r="C232" s="3">
        <v>100</v>
      </c>
      <c r="D232" s="3" t="s">
        <v>18</v>
      </c>
      <c r="E232" s="42" t="s">
        <v>462</v>
      </c>
      <c r="F232" s="3" t="s">
        <v>5</v>
      </c>
      <c r="G232" s="71" t="s">
        <v>70</v>
      </c>
      <c r="H232" s="71"/>
      <c r="I232" s="5" t="str">
        <f t="shared" si="1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5" t="str">
        <f>IF(LEN(concatif2(A:A,Table2[[#This Row],[!Table]],G:G,"Y",D:D,",")) &gt; 0,"rg:[ { 'req' : '"&amp;concatif2(A:A,Table2[[#This Row],[!Table]],G:G,"Y",D:D,"' }, { 'req': '")&amp;"'} ]","rg:[]")</f>
        <v>rg:[ { 'req' : 'id' }, { 'req': 'givenName' }, { 'req': 'surname' }, { 'req': 'role'} ]</v>
      </c>
      <c r="Y232" s="4" t="str">
        <f>IF(LEN(Table2[[#This Row],[!Unique]])&gt;0,"rg:True","rg:None")</f>
        <v>rg:None</v>
      </c>
    </row>
    <row r="233" spans="1:25" x14ac:dyDescent="0.3">
      <c r="A233" s="22" t="s">
        <v>223</v>
      </c>
      <c r="B233" s="3" t="s">
        <v>7</v>
      </c>
      <c r="C233" s="3">
        <v>150</v>
      </c>
      <c r="D233" s="3" t="s">
        <v>213</v>
      </c>
      <c r="E233" s="42" t="s">
        <v>463</v>
      </c>
      <c r="F233" s="3" t="s">
        <v>5</v>
      </c>
      <c r="G233" s="4"/>
      <c r="H233" s="4"/>
      <c r="I233" s="5" t="str">
        <f t="shared" si="1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5" t="str">
        <f>IF(LEN(concatif2(A:A,Table2[[#This Row],[!Table]],G:G,"Y",D:D,",")) &gt; 0,"rg:[ { 'req' : '"&amp;concatif2(A:A,Table2[[#This Row],[!Table]],G:G,"Y",D:D,"' }, { 'req': '")&amp;"'} ]","rg:[]")</f>
        <v>rg:[ { 'req' : 'id' }, { 'req': 'givenName' }, { 'req': 'surname' }, { 'req': 'role'} ]</v>
      </c>
      <c r="Y233" s="4" t="str">
        <f>IF(LEN(Table2[[#This Row],[!Unique]])&gt;0,"rg:True","rg:None")</f>
        <v>rg:None</v>
      </c>
    </row>
    <row r="234" spans="1:25" x14ac:dyDescent="0.3">
      <c r="A234" s="22" t="s">
        <v>223</v>
      </c>
      <c r="B234" s="3" t="s">
        <v>19</v>
      </c>
      <c r="C234" s="3"/>
      <c r="D234" s="22" t="s">
        <v>226</v>
      </c>
      <c r="E234" s="42"/>
      <c r="F234" s="22" t="s">
        <v>224</v>
      </c>
      <c r="G234" s="4"/>
      <c r="H234" s="4"/>
      <c r="I234" s="5" t="str">
        <f t="shared" si="1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phones</v>
      </c>
      <c r="V234" s="4" t="str">
        <f>IF(LEN(Table2[[#This Row],[!Description]]) &gt; 0, Table2[[#This Row],[!Description]], "rg:None")</f>
        <v>rg:None</v>
      </c>
      <c r="W234" s="4" t="str">
        <f>IF(LEN(Table2[[#This Row],[!FK]])&gt;0,Table2[[#This Row],[!FK]],"rg:None")</f>
        <v>ContactPhone</v>
      </c>
      <c r="X234" s="15" t="str">
        <f>IF(LEN(concatif2(A:A,Table2[[#This Row],[!Table]],G:G,"Y",D:D,",")) &gt; 0,"rg:[ { 'req' : '"&amp;concatif2(A:A,Table2[[#This Row],[!Table]],G:G,"Y",D:D,"' }, { 'req': '")&amp;"'} ]","rg:[]")</f>
        <v>rg:[ { 'req' : 'id' }, { 'req': 'givenName' }, { 'req': 'surname' }, { 'req': 'role'} ]</v>
      </c>
      <c r="Y234" s="4" t="str">
        <f>IF(LEN(Table2[[#This Row],[!Unique]])&gt;0,"rg:True","rg:None")</f>
        <v>rg:None</v>
      </c>
    </row>
    <row r="235" spans="1:25" x14ac:dyDescent="0.3">
      <c r="A235" s="22" t="s">
        <v>223</v>
      </c>
      <c r="B235" s="3" t="s">
        <v>19</v>
      </c>
      <c r="C235" s="3"/>
      <c r="D235" s="22" t="s">
        <v>227</v>
      </c>
      <c r="E235" s="42"/>
      <c r="F235" s="22" t="s">
        <v>225</v>
      </c>
      <c r="G235" s="4"/>
      <c r="H235" s="4"/>
      <c r="I235" s="5" t="str">
        <f t="shared" si="1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addresses</v>
      </c>
      <c r="V235" s="4" t="str">
        <f>IF(LEN(Table2[[#This Row],[!Description]]) &gt; 0, Table2[[#This Row],[!Description]], "rg:None")</f>
        <v>rg:None</v>
      </c>
      <c r="W235" s="4" t="str">
        <f>IF(LEN(Table2[[#This Row],[!FK]])&gt;0,Table2[[#This Row],[!FK]],"rg:None")</f>
        <v>ContactAddress</v>
      </c>
      <c r="X235" s="15" t="str">
        <f>IF(LEN(concatif2(A:A,Table2[[#This Row],[!Table]],G:G,"Y",D:D,",")) &gt; 0,"rg:[ { 'req' : '"&amp;concatif2(A:A,Table2[[#This Row],[!Table]],G:G,"Y",D:D,"' }, { 'req': '")&amp;"'} ]","rg:[]")</f>
        <v>rg:[ { 'req' : 'id' }, { 'req': 'givenName' }, { 'req': 'surname' }, { 'req': 'role'} ]</v>
      </c>
      <c r="Y235" s="4" t="str">
        <f>IF(LEN(Table2[[#This Row],[!Unique]])&gt;0,"rg:True","rg:None")</f>
        <v>rg:None</v>
      </c>
    </row>
    <row r="236" spans="1:25" x14ac:dyDescent="0.3">
      <c r="A236" s="22" t="s">
        <v>224</v>
      </c>
      <c r="B236" s="3" t="s">
        <v>4</v>
      </c>
      <c r="C236" s="3"/>
      <c r="D236" s="22" t="s">
        <v>224</v>
      </c>
      <c r="E236" s="42" t="s">
        <v>464</v>
      </c>
      <c r="F236" s="3" t="s">
        <v>5</v>
      </c>
      <c r="G236" s="4"/>
      <c r="H236" s="4"/>
      <c r="I236" s="5" t="str">
        <f t="shared" si="1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ContactPhone</v>
      </c>
      <c r="V236" s="4" t="str">
        <f>IF(LEN(Table2[[#This Row],[!Description]]) &gt; 0, Table2[[#This Row],[!Description]], "rg:None")</f>
        <v>SB Owner contact phone information</v>
      </c>
      <c r="W236" s="4" t="str">
        <f>IF(LEN(Table2[[#This Row],[!FK]])&gt;0,Table2[[#This Row],[!FK]],"rg:None")</f>
        <v>rg:None</v>
      </c>
      <c r="X236" s="15" t="str">
        <f>IF(LEN(concatif2(A:A,Table2[[#This Row],[!Table]],G:G,"Y",D:D,",")) &gt; 0,"rg:[ { 'req' : '"&amp;concatif2(A:A,Table2[[#This Row],[!Table]],G:G,"Y",D:D,"' }, { 'req': '")&amp;"'} ]","rg:[]")</f>
        <v>rg:[ { 'req' : 'id' }, { 'req': 'type' }, { 'req': 'phoneNumber'} ]</v>
      </c>
      <c r="Y236" s="4" t="str">
        <f>IF(LEN(Table2[[#This Row],[!Unique]])&gt;0,"rg:True","rg:None")</f>
        <v>rg:None</v>
      </c>
    </row>
    <row r="237" spans="1:25" x14ac:dyDescent="0.3">
      <c r="A237" s="22" t="s">
        <v>224</v>
      </c>
      <c r="B237" s="3" t="s">
        <v>6</v>
      </c>
      <c r="C237" s="3"/>
      <c r="D237" s="3" t="s">
        <v>6</v>
      </c>
      <c r="E237" s="42" t="s">
        <v>465</v>
      </c>
      <c r="F237" s="3" t="s">
        <v>5</v>
      </c>
      <c r="G237" s="4" t="s">
        <v>70</v>
      </c>
      <c r="H237" s="71" t="s">
        <v>70</v>
      </c>
      <c r="I237" s="5" t="str">
        <f t="shared" si="1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ContactPhone</v>
      </c>
      <c r="W237" s="4" t="str">
        <f>IF(LEN(Table2[[#This Row],[!FK]])&gt;0,Table2[[#This Row],[!FK]],"rg:None")</f>
        <v>rg:None</v>
      </c>
      <c r="X237" s="15" t="str">
        <f>IF(LEN(concatif2(A:A,Table2[[#This Row],[!Table]],G:G,"Y",D:D,",")) &gt; 0,"rg:[ { 'req' : '"&amp;concatif2(A:A,Table2[[#This Row],[!Table]],G:G,"Y",D:D,"' }, { 'req': '")&amp;"'} ]","rg:[]")</f>
        <v>rg:[ { 'req' : 'id' }, { 'req': 'type' }, { 'req': 'phoneNumber'} ]</v>
      </c>
      <c r="Y237" s="4" t="str">
        <f>IF(LEN(Table2[[#This Row],[!Unique]])&gt;0,"rg:True","rg:None")</f>
        <v>rg:True</v>
      </c>
    </row>
    <row r="238" spans="1:25" x14ac:dyDescent="0.3">
      <c r="A238" s="22" t="s">
        <v>224</v>
      </c>
      <c r="B238" s="3" t="s">
        <v>7</v>
      </c>
      <c r="C238" s="3">
        <v>100</v>
      </c>
      <c r="D238" s="3" t="s">
        <v>20</v>
      </c>
      <c r="E238" s="42" t="s">
        <v>466</v>
      </c>
      <c r="F238" s="3" t="s">
        <v>5</v>
      </c>
      <c r="G238" s="71" t="s">
        <v>70</v>
      </c>
      <c r="H238" s="71"/>
      <c r="I238" s="5" t="str">
        <f t="shared" si="1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100</v>
      </c>
      <c r="U238" s="4" t="str">
        <f>IF(LEN(Table2[[#This Row],[!Name]]) &gt; 0, Table2[[#This Row],[!Name]], "rg:None")</f>
        <v>type</v>
      </c>
      <c r="V238" s="4" t="str">
        <f>IF(LEN(Table2[[#This Row],[!Description]]) &gt; 0, Table2[[#This Row],[!Description]], "rg:None")</f>
        <v>The type of the phone number. UI controlled as to whether it is free form or selected from an enumerated list.  Ex. Home, Cell, Work etc..</v>
      </c>
      <c r="W238" s="4" t="str">
        <f>IF(LEN(Table2[[#This Row],[!FK]])&gt;0,Table2[[#This Row],[!FK]],"rg:None")</f>
        <v>rg:None</v>
      </c>
      <c r="X238" s="15" t="str">
        <f>IF(LEN(concatif2(A:A,Table2[[#This Row],[!Table]],G:G,"Y",D:D,",")) &gt; 0,"rg:[ { 'req' : '"&amp;concatif2(A:A,Table2[[#This Row],[!Table]],G:G,"Y",D:D,"' }, { 'req': '")&amp;"'} ]","rg:[]")</f>
        <v>rg:[ { 'req' : 'id' }, { 'req': 'type' }, { 'req': 'phoneNumber'} ]</v>
      </c>
      <c r="Y238" s="4" t="str">
        <f>IF(LEN(Table2[[#This Row],[!Unique]])&gt;0,"rg:True","rg:None")</f>
        <v>rg:None</v>
      </c>
    </row>
    <row r="239" spans="1:25" x14ac:dyDescent="0.3">
      <c r="A239" s="22" t="s">
        <v>224</v>
      </c>
      <c r="B239" s="3" t="s">
        <v>7</v>
      </c>
      <c r="C239" s="3">
        <v>20</v>
      </c>
      <c r="D239" s="3" t="s">
        <v>214</v>
      </c>
      <c r="E239" s="42" t="s">
        <v>215</v>
      </c>
      <c r="F239" s="3" t="s">
        <v>5</v>
      </c>
      <c r="G239" s="71" t="s">
        <v>70</v>
      </c>
      <c r="H239" s="71"/>
      <c r="I239" s="5" t="str">
        <f t="shared" si="1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20</v>
      </c>
      <c r="U239" s="4" t="str">
        <f>IF(LEN(Table2[[#This Row],[!Name]]) &gt; 0, Table2[[#This Row],[!Name]], "rg:None")</f>
        <v>phoneNumber</v>
      </c>
      <c r="V239" s="4" t="str">
        <f>IF(LEN(Table2[[#This Row],[!Description]]) &gt; 0, Table2[[#This Row],[!Description]], "rg:None")</f>
        <v>The phone number of the contact. Entered as free form to support a range of formats.</v>
      </c>
      <c r="W239" s="4" t="str">
        <f>IF(LEN(Table2[[#This Row],[!FK]])&gt;0,Table2[[#This Row],[!FK]],"rg:None")</f>
        <v>rg:None</v>
      </c>
      <c r="X239" s="15" t="str">
        <f>IF(LEN(concatif2(A:A,Table2[[#This Row],[!Table]],G:G,"Y",D:D,",")) &gt; 0,"rg:[ { 'req' : '"&amp;concatif2(A:A,Table2[[#This Row],[!Table]],G:G,"Y",D:D,"' }, { 'req': '")&amp;"'} ]","rg:[]")</f>
        <v>rg:[ { 'req' : 'id' }, { 'req': 'type' }, { 'req': 'phoneNumber'} ]</v>
      </c>
      <c r="Y239" s="4" t="str">
        <f>IF(LEN(Table2[[#This Row],[!Unique]])&gt;0,"rg:True","rg:None")</f>
        <v>rg:None</v>
      </c>
    </row>
    <row r="240" spans="1:25" x14ac:dyDescent="0.3">
      <c r="A240" s="22" t="s">
        <v>225</v>
      </c>
      <c r="B240" s="3" t="s">
        <v>4</v>
      </c>
      <c r="C240" s="3"/>
      <c r="D240" s="22" t="s">
        <v>225</v>
      </c>
      <c r="E240" s="42" t="s">
        <v>467</v>
      </c>
      <c r="F240" s="3" t="s">
        <v>5</v>
      </c>
      <c r="G240" s="4"/>
      <c r="H240" s="4"/>
      <c r="I240" s="5" t="str">
        <f t="shared" si="1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ContactAddress</v>
      </c>
      <c r="V240" s="4" t="str">
        <f>IF(LEN(Table2[[#This Row],[!Description]]) &gt; 0, Table2[[#This Row],[!Description]], "rg:None")</f>
        <v>SB Owner contact address information</v>
      </c>
      <c r="W240" s="4" t="str">
        <f>IF(LEN(Table2[[#This Row],[!FK]])&gt;0,Table2[[#This Row],[!FK]],"rg:None")</f>
        <v>rg:None</v>
      </c>
      <c r="X240" s="15" t="str">
        <f>IF(LEN(concatif2(A:A,Table2[[#This Row],[!Table]],G:G,"Y",D:D,",")) &gt; 0,"rg:[ { 'req' : '"&amp;concatif2(A:A,Table2[[#This Row],[!Table]],G:G,"Y",D:D,"' }, { 'req': '")&amp;"'} ]","rg:[]")</f>
        <v>rg:[ { 'req' : 'id'} ]</v>
      </c>
      <c r="Y240" s="4" t="str">
        <f>IF(LEN(Table2[[#This Row],[!Unique]])&gt;0,"rg:True","rg:None")</f>
        <v>rg:None</v>
      </c>
    </row>
    <row r="241" spans="1:25" x14ac:dyDescent="0.3">
      <c r="A241" s="22" t="s">
        <v>225</v>
      </c>
      <c r="B241" s="3" t="s">
        <v>6</v>
      </c>
      <c r="C241" s="3"/>
      <c r="D241" s="3" t="s">
        <v>6</v>
      </c>
      <c r="E241" s="42" t="s">
        <v>468</v>
      </c>
      <c r="F241" s="3" t="s">
        <v>5</v>
      </c>
      <c r="G241" s="4" t="s">
        <v>70</v>
      </c>
      <c r="H241" s="71" t="s">
        <v>70</v>
      </c>
      <c r="I241" s="5" t="str">
        <f t="shared" si="16"/>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 ContactAddress</v>
      </c>
      <c r="W241" s="4" t="str">
        <f>IF(LEN(Table2[[#This Row],[!FK]])&gt;0,Table2[[#This Row],[!FK]],"rg:None")</f>
        <v>rg:None</v>
      </c>
      <c r="X241" s="15" t="str">
        <f>IF(LEN(concatif2(A:A,Table2[[#This Row],[!Table]],G:G,"Y",D:D,",")) &gt; 0,"rg:[ { 'req' : '"&amp;concatif2(A:A,Table2[[#This Row],[!Table]],G:G,"Y",D:D,"' }, { 'req': '")&amp;"'} ]","rg:[]")</f>
        <v>rg:[ { 'req' : 'id'} ]</v>
      </c>
      <c r="Y241" s="4" t="str">
        <f>IF(LEN(Table2[[#This Row],[!Unique]])&gt;0,"rg:True","rg:None")</f>
        <v>rg:True</v>
      </c>
    </row>
    <row r="242" spans="1:25" x14ac:dyDescent="0.3">
      <c r="A242" s="22" t="s">
        <v>225</v>
      </c>
      <c r="B242" s="3" t="s">
        <v>7</v>
      </c>
      <c r="C242" s="3">
        <v>100</v>
      </c>
      <c r="D242" s="3" t="s">
        <v>20</v>
      </c>
      <c r="E242" s="42" t="s">
        <v>469</v>
      </c>
      <c r="F242" s="3" t="s">
        <v>5</v>
      </c>
      <c r="G242" s="4"/>
      <c r="H242" s="4"/>
      <c r="I242" s="5" t="str">
        <f t="shared" si="1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100</v>
      </c>
      <c r="U242" s="4" t="str">
        <f>IF(LEN(Table2[[#This Row],[!Name]]) &gt; 0, Table2[[#This Row],[!Name]], "rg:None")</f>
        <v>type</v>
      </c>
      <c r="V242" s="4" t="str">
        <f>IF(LEN(Table2[[#This Row],[!Description]]) &gt; 0, Table2[[#This Row],[!Description]], "rg:None")</f>
        <v>The type of the address. UI controlled as to whether it is free form or selected from an enumerated list ex. Home, Office, etc..</v>
      </c>
      <c r="W242" s="4" t="str">
        <f>IF(LEN(Table2[[#This Row],[!FK]])&gt;0,Table2[[#This Row],[!FK]],"rg:None")</f>
        <v>rg:None</v>
      </c>
      <c r="X242" s="15" t="str">
        <f>IF(LEN(concatif2(A:A,Table2[[#This Row],[!Table]],G:G,"Y",D:D,",")) &gt; 0,"rg:[ { 'req' : '"&amp;concatif2(A:A,Table2[[#This Row],[!Table]],G:G,"Y",D:D,"' }, { 'req': '")&amp;"'} ]","rg:[]")</f>
        <v>rg:[ { 'req' : 'id'} ]</v>
      </c>
      <c r="Y242" s="4" t="str">
        <f>IF(LEN(Table2[[#This Row],[!Unique]])&gt;0,"rg:True","rg:None")</f>
        <v>rg:None</v>
      </c>
    </row>
    <row r="243" spans="1:25" x14ac:dyDescent="0.3">
      <c r="A243" s="22" t="s">
        <v>225</v>
      </c>
      <c r="B243" s="3" t="s">
        <v>7</v>
      </c>
      <c r="C243" s="3">
        <v>255</v>
      </c>
      <c r="D243" s="22" t="s">
        <v>228</v>
      </c>
      <c r="E243" s="42" t="s">
        <v>216</v>
      </c>
      <c r="F243" s="3" t="s">
        <v>5</v>
      </c>
      <c r="G243" s="4"/>
      <c r="H243" s="4"/>
      <c r="I243" s="5" t="str">
        <f t="shared" si="1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addressLine1</v>
      </c>
      <c r="V243" s="4" t="str">
        <f>IF(LEN(Table2[[#This Row],[!Description]]) &gt; 0, Table2[[#This Row],[!Description]], "rg:None")</f>
        <v>Address 1 line of the address.</v>
      </c>
      <c r="W243" s="4" t="str">
        <f>IF(LEN(Table2[[#This Row],[!FK]])&gt;0,Table2[[#This Row],[!FK]],"rg:None")</f>
        <v>rg:None</v>
      </c>
      <c r="X243" s="15" t="str">
        <f>IF(LEN(concatif2(A:A,Table2[[#This Row],[!Table]],G:G,"Y",D:D,",")) &gt; 0,"rg:[ { 'req' : '"&amp;concatif2(A:A,Table2[[#This Row],[!Table]],G:G,"Y",D:D,"' }, { 'req': '")&amp;"'} ]","rg:[]")</f>
        <v>rg:[ { 'req' : 'id'} ]</v>
      </c>
      <c r="Y243" s="4" t="str">
        <f>IF(LEN(Table2[[#This Row],[!Unique]])&gt;0,"rg:True","rg:None")</f>
        <v>rg:None</v>
      </c>
    </row>
    <row r="244" spans="1:25" x14ac:dyDescent="0.3">
      <c r="A244" s="22" t="s">
        <v>225</v>
      </c>
      <c r="B244" s="3" t="s">
        <v>7</v>
      </c>
      <c r="C244" s="3">
        <v>255</v>
      </c>
      <c r="D244" s="22" t="s">
        <v>229</v>
      </c>
      <c r="E244" s="42" t="s">
        <v>217</v>
      </c>
      <c r="F244" s="3" t="s">
        <v>5</v>
      </c>
      <c r="G244" s="4"/>
      <c r="H244" s="4"/>
      <c r="I244" s="5" t="str">
        <f t="shared" si="1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255</v>
      </c>
      <c r="U244" s="4" t="str">
        <f>IF(LEN(Table2[[#This Row],[!Name]]) &gt; 0, Table2[[#This Row],[!Name]], "rg:None")</f>
        <v>addressLine2</v>
      </c>
      <c r="V244" s="4" t="str">
        <f>IF(LEN(Table2[[#This Row],[!Description]]) &gt; 0, Table2[[#This Row],[!Description]], "rg:None")</f>
        <v>Address 2 line of the address.</v>
      </c>
      <c r="W244" s="4" t="str">
        <f>IF(LEN(Table2[[#This Row],[!FK]])&gt;0,Table2[[#This Row],[!FK]],"rg:None")</f>
        <v>rg:None</v>
      </c>
      <c r="X244" s="15" t="str">
        <f>IF(LEN(concatif2(A:A,Table2[[#This Row],[!Table]],G:G,"Y",D:D,",")) &gt; 0,"rg:[ { 'req' : '"&amp;concatif2(A:A,Table2[[#This Row],[!Table]],G:G,"Y",D:D,"' }, { 'req': '")&amp;"'} ]","rg:[]")</f>
        <v>rg:[ { 'req' : 'id'} ]</v>
      </c>
      <c r="Y244" s="4" t="str">
        <f>IF(LEN(Table2[[#This Row],[!Unique]])&gt;0,"rg:True","rg:None")</f>
        <v>rg:None</v>
      </c>
    </row>
    <row r="245" spans="1:25" x14ac:dyDescent="0.3">
      <c r="A245" s="22" t="s">
        <v>225</v>
      </c>
      <c r="B245" s="3" t="s">
        <v>7</v>
      </c>
      <c r="C245" s="3">
        <v>100</v>
      </c>
      <c r="D245" s="3" t="s">
        <v>21</v>
      </c>
      <c r="E245" s="42" t="s">
        <v>218</v>
      </c>
      <c r="F245" s="3" t="s">
        <v>5</v>
      </c>
      <c r="G245" s="4"/>
      <c r="H245" s="4"/>
      <c r="I245" s="5" t="str">
        <f t="shared" si="1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100</v>
      </c>
      <c r="U245" s="4" t="str">
        <f>IF(LEN(Table2[[#This Row],[!Name]]) &gt; 0, Table2[[#This Row],[!Name]], "rg:None")</f>
        <v>city</v>
      </c>
      <c r="V245" s="4" t="str">
        <f>IF(LEN(Table2[[#This Row],[!Description]]) &gt; 0, Table2[[#This Row],[!Description]], "rg:None")</f>
        <v>The City of the address.</v>
      </c>
      <c r="W245" s="4" t="str">
        <f>IF(LEN(Table2[[#This Row],[!FK]])&gt;0,Table2[[#This Row],[!FK]],"rg:None")</f>
        <v>rg:None</v>
      </c>
      <c r="X245" s="15" t="str">
        <f>IF(LEN(concatif2(A:A,Table2[[#This Row],[!Table]],G:G,"Y",D:D,",")) &gt; 0,"rg:[ { 'req' : '"&amp;concatif2(A:A,Table2[[#This Row],[!Table]],G:G,"Y",D:D,"' }, { 'req': '")&amp;"'} ]","rg:[]")</f>
        <v>rg:[ { 'req' : 'id'} ]</v>
      </c>
      <c r="Y245" s="4" t="str">
        <f>IF(LEN(Table2[[#This Row],[!Unique]])&gt;0,"rg:True","rg:None")</f>
        <v>rg:None</v>
      </c>
    </row>
    <row r="246" spans="1:25" x14ac:dyDescent="0.3">
      <c r="A246" s="22" t="s">
        <v>225</v>
      </c>
      <c r="B246" s="3" t="s">
        <v>7</v>
      </c>
      <c r="C246" s="3">
        <v>50</v>
      </c>
      <c r="D246" s="3" t="s">
        <v>219</v>
      </c>
      <c r="E246" s="42" t="s">
        <v>220</v>
      </c>
      <c r="F246" s="3" t="s">
        <v>5</v>
      </c>
      <c r="G246" s="4"/>
      <c r="H246" s="4"/>
      <c r="I246" s="5" t="str">
        <f t="shared" si="1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50</v>
      </c>
      <c r="U246" s="4" t="str">
        <f>IF(LEN(Table2[[#This Row],[!Name]]) &gt; 0, Table2[[#This Row],[!Name]], "rg:None")</f>
        <v>province</v>
      </c>
      <c r="V246" s="4" t="str">
        <f>IF(LEN(Table2[[#This Row],[!Description]]) &gt; 0, Table2[[#This Row],[!Description]], "rg:None")</f>
        <v>The Province of the address.</v>
      </c>
      <c r="W246" s="4" t="str">
        <f>IF(LEN(Table2[[#This Row],[!FK]])&gt;0,Table2[[#This Row],[!FK]],"rg:None")</f>
        <v>rg:None</v>
      </c>
      <c r="X246" s="15" t="str">
        <f>IF(LEN(concatif2(A:A,Table2[[#This Row],[!Table]],G:G,"Y",D:D,",")) &gt; 0,"rg:[ { 'req' : '"&amp;concatif2(A:A,Table2[[#This Row],[!Table]],G:G,"Y",D:D,"' }, { 'req': '")&amp;"'} ]","rg:[]")</f>
        <v>rg:[ { 'req' : 'id'} ]</v>
      </c>
      <c r="Y246" s="4" t="str">
        <f>IF(LEN(Table2[[#This Row],[!Unique]])&gt;0,"rg:True","rg:None")</f>
        <v>rg:None</v>
      </c>
    </row>
    <row r="247" spans="1:25" x14ac:dyDescent="0.3">
      <c r="A247" s="22" t="s">
        <v>225</v>
      </c>
      <c r="B247" s="3" t="s">
        <v>7</v>
      </c>
      <c r="C247" s="3">
        <v>15</v>
      </c>
      <c r="D247" s="3" t="s">
        <v>221</v>
      </c>
      <c r="E247" s="42" t="s">
        <v>222</v>
      </c>
      <c r="F247" s="3" t="s">
        <v>5</v>
      </c>
      <c r="G247" s="4"/>
      <c r="H247" s="4"/>
      <c r="I247" s="5" t="str">
        <f t="shared" si="1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15</v>
      </c>
      <c r="U247" s="4" t="str">
        <f>IF(LEN(Table2[[#This Row],[!Name]]) &gt; 0, Table2[[#This Row],[!Name]], "rg:None")</f>
        <v>postalCode</v>
      </c>
      <c r="V247" s="4" t="str">
        <f>IF(LEN(Table2[[#This Row],[!Description]]) &gt; 0, Table2[[#This Row],[!Description]], "rg:None")</f>
        <v>The postal code of the address.</v>
      </c>
      <c r="W247" s="4" t="str">
        <f>IF(LEN(Table2[[#This Row],[!FK]])&gt;0,Table2[[#This Row],[!FK]],"rg:None")</f>
        <v>rg:None</v>
      </c>
      <c r="X247" s="15" t="str">
        <f>IF(LEN(concatif2(A:A,Table2[[#This Row],[!Table]],G:G,"Y",D:D,",")) &gt; 0,"rg:[ { 'req' : '"&amp;concatif2(A:A,Table2[[#This Row],[!Table]],G:G,"Y",D:D,"' }, { 'req': '")&amp;"'} ]","rg:[]")</f>
        <v>rg:[ { 'req' : 'id'} ]</v>
      </c>
      <c r="Y247" s="4" t="str">
        <f>IF(LEN(Table2[[#This Row],[!Unique]])&gt;0,"rg:True","rg:None")</f>
        <v>rg:None</v>
      </c>
    </row>
    <row r="248" spans="1:25" x14ac:dyDescent="0.3">
      <c r="A248" s="22" t="s">
        <v>193</v>
      </c>
      <c r="B248" s="3" t="s">
        <v>4</v>
      </c>
      <c r="C248" s="3"/>
      <c r="D248" s="3" t="s">
        <v>193</v>
      </c>
      <c r="E248" s="62" t="s">
        <v>470</v>
      </c>
      <c r="F248" s="3" t="s">
        <v>5</v>
      </c>
      <c r="G248" s="4"/>
      <c r="H248" s="4"/>
      <c r="I248" s="5" t="str">
        <f t="shared" ref="I248:I259" si="17">IF(LEN(A248) &gt; 0,"Defs","-")</f>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table</v>
      </c>
      <c r="T248" s="4" t="str">
        <f>IF(LEN(Table2[[#This Row],[!Length]]) &gt; 0, Table2[[#This Row],[!Length]], "rg:None")</f>
        <v>rg:None</v>
      </c>
      <c r="U248" s="4" t="str">
        <f>IF(LEN(Table2[[#This Row],[!Name]]) &gt; 0, Table2[[#This Row],[!Name]], "rg:None")</f>
        <v>Note</v>
      </c>
      <c r="V248" s="4" t="str">
        <f>IF(LEN(Table2[[#This Row],[!Description]]) &gt; 0, Table2[[#This Row],[!Description]], "rg:None")</f>
        <v>Notes entered by users about instance of entities - e.g. School Buses and School Bus Owners</v>
      </c>
      <c r="W248" s="4" t="str">
        <f>IF(LEN(Table2[[#This Row],[!FK]])&gt;0,Table2[[#This Row],[!FK]],"rg:None")</f>
        <v>rg:None</v>
      </c>
      <c r="X248" s="15" t="str">
        <f>IF(LEN(concatif2(A:A,Table2[[#This Row],[!Table]],G:G,"Y",D:D,",")) &gt; 0,"rg:[ { 'req' : '"&amp;concatif2(A:A,Table2[[#This Row],[!Table]],G:G,"Y",D:D,"' }, { 'req': '")&amp;"'} ]","rg:[]")</f>
        <v>rg:[ { 'req' : 'id' }, { 'req': 'text'} ]</v>
      </c>
      <c r="Y248" s="4" t="str">
        <f>IF(LEN(Table2[[#This Row],[!Unique]])&gt;0,"rg:True","rg:None")</f>
        <v>rg:None</v>
      </c>
    </row>
    <row r="249" spans="1:25" x14ac:dyDescent="0.3">
      <c r="A249" s="22" t="s">
        <v>193</v>
      </c>
      <c r="B249" s="3" t="s">
        <v>6</v>
      </c>
      <c r="C249" s="3"/>
      <c r="D249" s="3" t="s">
        <v>6</v>
      </c>
      <c r="E249" s="42" t="s">
        <v>471</v>
      </c>
      <c r="F249" s="3" t="s">
        <v>5</v>
      </c>
      <c r="G249" s="4" t="s">
        <v>70</v>
      </c>
      <c r="H249" s="71" t="s">
        <v>70</v>
      </c>
      <c r="I249" s="5" t="str">
        <f t="shared" si="17"/>
        <v>Defs</v>
      </c>
      <c r="J249" s="4" t="str">
        <f>IF(Table2[[#This Row],[!Type]]=J$1, J$1,"rg:None")</f>
        <v>rg:None</v>
      </c>
      <c r="K249" s="4" t="str">
        <f>IF(Table2[[#This Row],[!Type]]=K$1, K$1,"rg:None")</f>
        <v>rg:None</v>
      </c>
      <c r="L249" s="4" t="str">
        <f>IF(Table2[[#This Row],[!Type]]=L$1, L$1,"rg:None")</f>
        <v>rg:None</v>
      </c>
      <c r="M249" s="4" t="str">
        <f>IF(Table2[[#This Row],[!Type]]=M$1, M$1,"rg:None")</f>
        <v>id</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id</v>
      </c>
      <c r="V249" s="4" t="str">
        <f>IF(LEN(Table2[[#This Row],[!Description]]) &gt; 0, Table2[[#This Row],[!Description]], "rg:None")</f>
        <v>A system-generated unique identifier for a Note</v>
      </c>
      <c r="W249" s="4" t="str">
        <f>IF(LEN(Table2[[#This Row],[!FK]])&gt;0,Table2[[#This Row],[!FK]],"rg:None")</f>
        <v>rg:None</v>
      </c>
      <c r="X249" s="15" t="str">
        <f>IF(LEN(concatif2(A:A,Table2[[#This Row],[!Table]],G:G,"Y",D:D,",")) &gt; 0,"rg:[ { 'req' : '"&amp;concatif2(A:A,Table2[[#This Row],[!Table]],G:G,"Y",D:D,"' }, { 'req': '")&amp;"'} ]","rg:[]")</f>
        <v>rg:[ { 'req' : 'id' }, { 'req': 'text'} ]</v>
      </c>
      <c r="Y249" s="4" t="str">
        <f>IF(LEN(Table2[[#This Row],[!Unique]])&gt;0,"rg:True","rg:None")</f>
        <v>rg:True</v>
      </c>
    </row>
    <row r="250" spans="1:25" x14ac:dyDescent="0.3">
      <c r="A250" s="22" t="s">
        <v>193</v>
      </c>
      <c r="B250" s="3" t="s">
        <v>7</v>
      </c>
      <c r="C250" s="3">
        <v>2048</v>
      </c>
      <c r="D250" s="70" t="s">
        <v>521</v>
      </c>
      <c r="E250" s="69" t="s">
        <v>470</v>
      </c>
      <c r="F250" s="3" t="s">
        <v>5</v>
      </c>
      <c r="G250" s="71" t="s">
        <v>70</v>
      </c>
      <c r="H250" s="4"/>
      <c r="I250" s="5" t="str">
        <f t="shared" si="1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text</v>
      </c>
      <c r="V250" s="4" t="str">
        <f>IF(LEN(Table2[[#This Row],[!Description]]) &gt; 0, Table2[[#This Row],[!Description]], "rg:None")</f>
        <v>Notes entered by users about instance of entities - e.g. School Buses and School Bus Owners</v>
      </c>
      <c r="W250" s="4" t="str">
        <f>IF(LEN(Table2[[#This Row],[!FK]])&gt;0,Table2[[#This Row],[!FK]],"rg:None")</f>
        <v>rg:None</v>
      </c>
      <c r="X250" s="15" t="str">
        <f>IF(LEN(concatif2(A:A,Table2[[#This Row],[!Table]],G:G,"Y",D:D,",")) &gt; 0,"rg:[ { 'req' : '"&amp;concatif2(A:A,Table2[[#This Row],[!Table]],G:G,"Y",D:D,"' }, { 'req': '")&amp;"'} ]","rg:[]")</f>
        <v>rg:[ { 'req' : 'id' }, { 'req': 'text'} ]</v>
      </c>
      <c r="Y250" s="4" t="str">
        <f>IF(LEN(Table2[[#This Row],[!Unique]])&gt;0,"rg:True","rg:None")</f>
        <v>rg:None</v>
      </c>
    </row>
    <row r="251" spans="1:25" x14ac:dyDescent="0.3">
      <c r="A251" s="22" t="s">
        <v>193</v>
      </c>
      <c r="B251" s="3" t="s">
        <v>9</v>
      </c>
      <c r="C251" s="3"/>
      <c r="D251" s="3" t="s">
        <v>203</v>
      </c>
      <c r="E251" s="63" t="s">
        <v>472</v>
      </c>
      <c r="F251" s="3" t="s">
        <v>5</v>
      </c>
      <c r="G251" s="4"/>
      <c r="H251" s="4"/>
      <c r="I251" s="5" t="str">
        <f t="shared" si="17"/>
        <v>Defs</v>
      </c>
      <c r="J251" s="4" t="str">
        <f>IF(Table2[[#This Row],[!Type]]=J$1, J$1,"rg:None")</f>
        <v>boolean</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isNoLongerRelevant</v>
      </c>
      <c r="V251" s="4" t="str">
        <f>IF(LEN(Table2[[#This Row],[!Description]]) &gt; 0, Table2[[#This Row],[!Description]], "rg:None")</f>
        <v>A user set flag that the note is no longer relevant. Allows the note to be retained for historical reasons,  but identified to other users as no longer applicable.</v>
      </c>
      <c r="W251" s="4" t="str">
        <f>IF(LEN(Table2[[#This Row],[!FK]])&gt;0,Table2[[#This Row],[!FK]],"rg:None")</f>
        <v>rg:None</v>
      </c>
      <c r="X251" s="15" t="str">
        <f>IF(LEN(concatif2(A:A,Table2[[#This Row],[!Table]],G:G,"Y",D:D,",")) &gt; 0,"rg:[ { 'req' : '"&amp;concatif2(A:A,Table2[[#This Row],[!Table]],G:G,"Y",D:D,"' }, { 'req': '")&amp;"'} ]","rg:[]")</f>
        <v>rg:[ { 'req' : 'id' }, { 'req': 'text'} ]</v>
      </c>
      <c r="Y251" s="4" t="str">
        <f>IF(LEN(Table2[[#This Row],[!Unique]])&gt;0,"rg:True","rg:None")</f>
        <v>rg:None</v>
      </c>
    </row>
    <row r="252" spans="1:25" x14ac:dyDescent="0.3">
      <c r="A252" s="22" t="s">
        <v>207</v>
      </c>
      <c r="B252" s="3" t="s">
        <v>4</v>
      </c>
      <c r="C252" s="3"/>
      <c r="D252" s="22" t="s">
        <v>207</v>
      </c>
      <c r="E252" s="63" t="s">
        <v>473</v>
      </c>
      <c r="F252" s="3" t="s">
        <v>5</v>
      </c>
      <c r="G252" s="4"/>
      <c r="H252" s="4"/>
      <c r="I252" s="5" t="str">
        <f t="shared" si="1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Attachment</v>
      </c>
      <c r="V252" s="4" t="str">
        <f>IF(LEN(Table2[[#This Row],[!Description]]) &gt; 0, Table2[[#This Row],[!Description]], "rg:None")</f>
        <v>Attachments uploaded by users about instance of entities - e.g. School Buses and School Bus Owners</v>
      </c>
      <c r="W252" s="4" t="str">
        <f>IF(LEN(Table2[[#This Row],[!FK]])&gt;0,Table2[[#This Row],[!FK]],"rg:None")</f>
        <v>rg:None</v>
      </c>
      <c r="X252" s="15" t="str">
        <f>IF(LEN(concatif2(A:A,Table2[[#This Row],[!Table]],G:G,"Y",D:D,",")) &gt; 0,"rg:[ { 'req' : '"&amp;concatif2(A:A,Table2[[#This Row],[!Table]],G:G,"Y",D:D,"' }, { 'req': '")&amp;"'} ]","rg:[]")</f>
        <v>rg:[ { 'req' : 'id' }, { 'req': 'internalFileName' }, { 'req': 'externalFileName'} ]</v>
      </c>
      <c r="Y252" s="4" t="str">
        <f>IF(LEN(Table2[[#This Row],[!Unique]])&gt;0,"rg:True","rg:None")</f>
        <v>rg:None</v>
      </c>
    </row>
    <row r="253" spans="1:25" x14ac:dyDescent="0.3">
      <c r="A253" s="22" t="s">
        <v>207</v>
      </c>
      <c r="B253" s="3" t="s">
        <v>6</v>
      </c>
      <c r="C253" s="3"/>
      <c r="D253" s="3" t="s">
        <v>6</v>
      </c>
      <c r="E253" s="42" t="s">
        <v>474</v>
      </c>
      <c r="F253" s="3" t="s">
        <v>5</v>
      </c>
      <c r="G253" s="4" t="s">
        <v>70</v>
      </c>
      <c r="H253" s="71" t="s">
        <v>70</v>
      </c>
      <c r="I253" s="5" t="str">
        <f t="shared" si="1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an Attachment</v>
      </c>
      <c r="W253" s="4" t="str">
        <f>IF(LEN(Table2[[#This Row],[!FK]])&gt;0,Table2[[#This Row],[!FK]],"rg:None")</f>
        <v>rg:None</v>
      </c>
      <c r="X253" s="15" t="str">
        <f>IF(LEN(concatif2(A:A,Table2[[#This Row],[!Table]],G:G,"Y",D:D,",")) &gt; 0,"rg:[ { 'req' : '"&amp;concatif2(A:A,Table2[[#This Row],[!Table]],G:G,"Y",D:D,"' }, { 'req': '")&amp;"'} ]","rg:[]")</f>
        <v>rg:[ { 'req' : 'id' }, { 'req': 'internalFileName' }, { 'req': 'externalFileName'} ]</v>
      </c>
      <c r="Y253" s="4" t="str">
        <f>IF(LEN(Table2[[#This Row],[!Unique]])&gt;0,"rg:True","rg:None")</f>
        <v>rg:True</v>
      </c>
    </row>
    <row r="254" spans="1:25" x14ac:dyDescent="0.3">
      <c r="A254" s="22" t="s">
        <v>207</v>
      </c>
      <c r="B254" s="3" t="s">
        <v>7</v>
      </c>
      <c r="C254" s="3">
        <v>2048</v>
      </c>
      <c r="D254" s="3" t="s">
        <v>294</v>
      </c>
      <c r="E254" s="42" t="s">
        <v>295</v>
      </c>
      <c r="F254" s="3" t="s">
        <v>5</v>
      </c>
      <c r="G254" s="71" t="s">
        <v>70</v>
      </c>
      <c r="H254" s="71"/>
      <c r="I254" s="5" t="str">
        <f t="shared" si="1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internalFileName</v>
      </c>
      <c r="V254" s="4" t="str">
        <f>IF(LEN(Table2[[#This Row],[!Description]]) &gt; 0, Table2[[#This Row],[!Description]], "rg:None")</f>
        <v>The physical location of the attachment on the file system.</v>
      </c>
      <c r="W254" s="4" t="str">
        <f>IF(LEN(Table2[[#This Row],[!FK]])&gt;0,Table2[[#This Row],[!FK]],"rg:None")</f>
        <v>rg:None</v>
      </c>
      <c r="X254" s="15" t="str">
        <f>IF(LEN(concatif2(A:A,Table2[[#This Row],[!Table]],G:G,"Y",D:D,",")) &gt; 0,"rg:[ { 'req' : '"&amp;concatif2(A:A,Table2[[#This Row],[!Table]],G:G,"Y",D:D,"' }, { 'req': '")&amp;"'} ]","rg:[]")</f>
        <v>rg:[ { 'req' : 'id' }, { 'req': 'internalFileName' }, { 'req': 'externalFileName'} ]</v>
      </c>
      <c r="Y254" s="4" t="str">
        <f>IF(LEN(Table2[[#This Row],[!Unique]])&gt;0,"rg:True","rg:None")</f>
        <v>rg:None</v>
      </c>
    </row>
    <row r="255" spans="1:25" x14ac:dyDescent="0.3">
      <c r="A255" s="22" t="s">
        <v>207</v>
      </c>
      <c r="B255" s="3" t="s">
        <v>7</v>
      </c>
      <c r="C255" s="3">
        <v>2048</v>
      </c>
      <c r="D255" s="3" t="s">
        <v>204</v>
      </c>
      <c r="E255" s="62" t="s">
        <v>205</v>
      </c>
      <c r="F255" s="3" t="s">
        <v>5</v>
      </c>
      <c r="G255" s="71" t="s">
        <v>70</v>
      </c>
      <c r="H255" s="71"/>
      <c r="I255" s="5" t="str">
        <f t="shared" si="1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externalFileName</v>
      </c>
      <c r="V255" s="4" t="str">
        <f>IF(LEN(Table2[[#This Row],[!Description]]) &gt; 0, Table2[[#This Row],[!Description]], "rg:None")</f>
        <v>The name of the attachment as defined by the user in uploading the document.</v>
      </c>
      <c r="W255" s="4" t="str">
        <f>IF(LEN(Table2[[#This Row],[!FK]])&gt;0,Table2[[#This Row],[!FK]],"rg:None")</f>
        <v>rg:None</v>
      </c>
      <c r="X255" s="15" t="str">
        <f>IF(LEN(concatif2(A:A,Table2[[#This Row],[!Table]],G:G,"Y",D:D,",")) &gt; 0,"rg:[ { 'req' : '"&amp;concatif2(A:A,Table2[[#This Row],[!Table]],G:G,"Y",D:D,"' }, { 'req': '")&amp;"'} ]","rg:[]")</f>
        <v>rg:[ { 'req' : 'id' }, { 'req': 'internalFileName' }, { 'req': 'externalFileName'} ]</v>
      </c>
      <c r="Y255" s="4" t="str">
        <f>IF(LEN(Table2[[#This Row],[!Unique]])&gt;0,"rg:True","rg:None")</f>
        <v>rg:None</v>
      </c>
    </row>
    <row r="256" spans="1:25" x14ac:dyDescent="0.3">
      <c r="A256" s="22" t="s">
        <v>207</v>
      </c>
      <c r="B256" s="3" t="s">
        <v>7</v>
      </c>
      <c r="C256" s="3">
        <v>2048</v>
      </c>
      <c r="D256" s="3" t="s">
        <v>14</v>
      </c>
      <c r="E256" s="62" t="s">
        <v>206</v>
      </c>
      <c r="F256" s="3" t="s">
        <v>5</v>
      </c>
      <c r="G256" s="4"/>
      <c r="H256" s="4"/>
      <c r="I256" s="5" t="str">
        <f t="shared" si="1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description</v>
      </c>
      <c r="V256" s="4" t="str">
        <f>IF(LEN(Table2[[#This Row],[!Description]]) &gt; 0, Table2[[#This Row],[!Description]], "rg:None")</f>
        <v>A note about the attachment,  optionally maintained by the user.</v>
      </c>
      <c r="W256" s="4" t="str">
        <f>IF(LEN(Table2[[#This Row],[!FK]])&gt;0,Table2[[#This Row],[!FK]],"rg:None")</f>
        <v>rg:None</v>
      </c>
      <c r="X256" s="15" t="str">
        <f>IF(LEN(concatif2(A:A,Table2[[#This Row],[!Table]],G:G,"Y",D:D,",")) &gt; 0,"rg:[ { 'req' : '"&amp;concatif2(A:A,Table2[[#This Row],[!Table]],G:G,"Y",D:D,"' }, { 'req': '")&amp;"'} ]","rg:[]")</f>
        <v>rg:[ { 'req' : 'id' }, { 'req': 'internalFileName' }, { 'req': 'externalFileName'} ]</v>
      </c>
      <c r="Y256" s="4" t="str">
        <f>IF(LEN(Table2[[#This Row],[!Unique]])&gt;0,"rg:True","rg:None")</f>
        <v>rg:None</v>
      </c>
    </row>
    <row r="257" spans="1:25" x14ac:dyDescent="0.3">
      <c r="A257" s="22" t="s">
        <v>209</v>
      </c>
      <c r="B257" s="3" t="s">
        <v>4</v>
      </c>
      <c r="C257" s="3"/>
      <c r="D257" s="22" t="s">
        <v>209</v>
      </c>
      <c r="E257" s="62" t="s">
        <v>475</v>
      </c>
      <c r="F257" s="3" t="s">
        <v>5</v>
      </c>
      <c r="G257" s="4"/>
      <c r="H257" s="4"/>
      <c r="I257" s="5" t="str">
        <f t="shared" si="1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table</v>
      </c>
      <c r="T257" s="4" t="str">
        <f>IF(LEN(Table2[[#This Row],[!Length]]) &gt; 0, Table2[[#This Row],[!Length]], "rg:None")</f>
        <v>rg:None</v>
      </c>
      <c r="U257" s="4" t="str">
        <f>IF(LEN(Table2[[#This Row],[!Name]]) &gt; 0, Table2[[#This Row],[!Name]], "rg:None")</f>
        <v>History</v>
      </c>
      <c r="V257" s="4" t="str">
        <f>IF(LEN(Table2[[#This Row],[!Description]]) &gt; 0, Table2[[#This Row],[!Description]], "rg:None")</f>
        <v>The history of updates made to an entity - e.g. a School Bus or a School Bus Owner</v>
      </c>
      <c r="W257" s="4" t="str">
        <f>IF(LEN(Table2[[#This Row],[!FK]])&gt;0,Table2[[#This Row],[!FK]],"rg:None")</f>
        <v>rg:None</v>
      </c>
      <c r="X257" s="15" t="str">
        <f>IF(LEN(concatif2(A:A,Table2[[#This Row],[!Table]],G:G,"Y",D:D,",")) &gt; 0,"rg:[ { 'req' : '"&amp;concatif2(A:A,Table2[[#This Row],[!Table]],G:G,"Y",D:D,"' }, { 'req': '")&amp;"'} ]","rg:[]")</f>
        <v>rg:[ { 'req' : 'id' }, { 'req': 'historyText'} ]</v>
      </c>
      <c r="Y257" s="4" t="str">
        <f>IF(LEN(Table2[[#This Row],[!Unique]])&gt;0,"rg:True","rg:None")</f>
        <v>rg:None</v>
      </c>
    </row>
    <row r="258" spans="1:25" x14ac:dyDescent="0.3">
      <c r="A258" s="22" t="s">
        <v>209</v>
      </c>
      <c r="B258" s="3" t="s">
        <v>6</v>
      </c>
      <c r="C258" s="3"/>
      <c r="D258" s="3" t="s">
        <v>6</v>
      </c>
      <c r="E258" s="42" t="s">
        <v>476</v>
      </c>
      <c r="F258" s="3" t="s">
        <v>5</v>
      </c>
      <c r="G258" s="4" t="s">
        <v>70</v>
      </c>
      <c r="H258" s="71" t="s">
        <v>70</v>
      </c>
      <c r="I258" s="5" t="str">
        <f t="shared" si="17"/>
        <v>Defs</v>
      </c>
      <c r="J258" s="4" t="str">
        <f>IF(Table2[[#This Row],[!Type]]=J$1, J$1,"rg:None")</f>
        <v>rg:None</v>
      </c>
      <c r="K258" s="4" t="str">
        <f>IF(Table2[[#This Row],[!Type]]=K$1, K$1,"rg:None")</f>
        <v>rg:None</v>
      </c>
      <c r="L258" s="4" t="str">
        <f>IF(Table2[[#This Row],[!Type]]=L$1, L$1,"rg:None")</f>
        <v>rg:None</v>
      </c>
      <c r="M258" s="4" t="str">
        <f>IF(Table2[[#This Row],[!Type]]=M$1, M$1,"rg:None")</f>
        <v>id</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id</v>
      </c>
      <c r="V258" s="4" t="str">
        <f>IF(LEN(Table2[[#This Row],[!Description]]) &gt; 0, Table2[[#This Row],[!Description]], "rg:None")</f>
        <v>A system-generated unique identifier for a History</v>
      </c>
      <c r="W258" s="4" t="str">
        <f>IF(LEN(Table2[[#This Row],[!FK]])&gt;0,Table2[[#This Row],[!FK]],"rg:None")</f>
        <v>rg:None</v>
      </c>
      <c r="X258" s="15" t="str">
        <f>IF(LEN(concatif2(A:A,Table2[[#This Row],[!Table]],G:G,"Y",D:D,",")) &gt; 0,"rg:[ { 'req' : '"&amp;concatif2(A:A,Table2[[#This Row],[!Table]],G:G,"Y",D:D,"' }, { 'req': '")&amp;"'} ]","rg:[]")</f>
        <v>rg:[ { 'req' : 'id' }, { 'req': 'historyText'} ]</v>
      </c>
      <c r="Y258" s="4" t="str">
        <f>IF(LEN(Table2[[#This Row],[!Unique]])&gt;0,"rg:True","rg:None")</f>
        <v>rg:True</v>
      </c>
    </row>
    <row r="259" spans="1:25" x14ac:dyDescent="0.3">
      <c r="A259" s="22" t="s">
        <v>209</v>
      </c>
      <c r="B259" s="22" t="s">
        <v>7</v>
      </c>
      <c r="C259" s="3">
        <v>2048</v>
      </c>
      <c r="D259" s="41" t="s">
        <v>296</v>
      </c>
      <c r="E259" s="44" t="s">
        <v>297</v>
      </c>
      <c r="F259" s="3"/>
      <c r="G259" s="71" t="s">
        <v>70</v>
      </c>
      <c r="H259" s="71"/>
      <c r="I259" s="5" t="str">
        <f t="shared" si="1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historyText</v>
      </c>
      <c r="V259" s="4" t="str">
        <f>IF(LEN(Table2[[#This Row],[!Description]]) &gt; 0, Table2[[#This Row],[!Description]], "rg:None")</f>
        <v>The text of the history entry tracked against the related entity.</v>
      </c>
      <c r="W259" s="4" t="str">
        <f>IF(LEN(Table2[[#This Row],[!FK]])&gt;0,Table2[[#This Row],[!FK]],"rg:None")</f>
        <v>rg:None</v>
      </c>
      <c r="X259" s="15" t="str">
        <f>IF(LEN(concatif2(A:A,Table2[[#This Row],[!Table]],G:G,"Y",D:D,",")) &gt; 0,"rg:[ { 'req' : '"&amp;concatif2(A:A,Table2[[#This Row],[!Table]],G:G,"Y",D:D,"' }, { 'req': '")&amp;"'} ]","rg:[]")</f>
        <v>rg:[ { 'req' : 'id' }, { 'req': 'historyText'} ]</v>
      </c>
      <c r="Y259" s="4" t="str">
        <f>IF(LEN(Table2[[#This Row],[!Unique]])&gt;0,"rg:True","rg:None")</f>
        <v>rg:None</v>
      </c>
    </row>
    <row r="260" spans="1:25" x14ac:dyDescent="0.3">
      <c r="A260" s="22" t="s">
        <v>209</v>
      </c>
      <c r="B260" s="21" t="s">
        <v>12</v>
      </c>
      <c r="C260" s="19"/>
      <c r="D260" s="39" t="s">
        <v>293</v>
      </c>
      <c r="E260" s="21" t="s">
        <v>210</v>
      </c>
      <c r="F260" s="13"/>
      <c r="G260" s="20"/>
      <c r="H260" s="20"/>
      <c r="I260" s="4" t="str">
        <f>IF(LEN(A260) &gt; 0,"Defs","-")</f>
        <v>Defs</v>
      </c>
      <c r="J260" s="15" t="str">
        <f>IF(Table2[[#This Row],[!Type]]=J$1, J$1,"rg:None")</f>
        <v>rg:None</v>
      </c>
      <c r="K260" s="15" t="str">
        <f>IF(Table2[[#This Row],[!Type]]=K$1, K$1,"rg:None")</f>
        <v>rg:None</v>
      </c>
      <c r="L260" s="15" t="str">
        <f>IF(Table2[[#This Row],[!Type]]=L$1, L$1,"rg:None")</f>
        <v>datetime</v>
      </c>
      <c r="M260" s="15" t="str">
        <f>IF(Table2[[#This Row],[!Type]]=M$1, M$1,"rg:None")</f>
        <v>rg:None</v>
      </c>
      <c r="N260" s="15" t="str">
        <f>IF(Table2[[#This Row],[!Type]]=N$1, N$1,"rg:None")</f>
        <v>rg:None</v>
      </c>
      <c r="O260" s="15"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5" t="str">
        <f>IF(LEN(Table2[[#This Row],[!Length]]) &gt; 0, Table2[[#This Row],[!Length]], "rg:None")</f>
        <v>rg:None</v>
      </c>
      <c r="U260" s="15" t="str">
        <f>IF(LEN(Table2[[#This Row],[!Name]]) &gt; 0, Table2[[#This Row],[!Name]], "rg:None")</f>
        <v>createdDate</v>
      </c>
      <c r="V260" s="15" t="str">
        <f>IF(LEN(Table2[[#This Row],[!Description]]) &gt; 0, Table2[[#This Row],[!Description]], "rg:None")</f>
        <v>Date the record is created.</v>
      </c>
      <c r="W260" s="15" t="str">
        <f>IF(LEN(Table2[[#This Row],[!FK]])&gt;0,Table2[[#This Row],[!FK]],"rg:None")</f>
        <v>rg:None</v>
      </c>
      <c r="X260" s="15" t="str">
        <f>IF(LEN(concatif2(A:A,Table2[[#This Row],[!Table]],G:G,"Y",D:D,",")) &gt; 0,"rg:[ { 'req' : '"&amp;concatif2(A:A,Table2[[#This Row],[!Table]],G:G,"Y",D:D,"' }, { 'req': '")&amp;"'} ]","rg:[]")</f>
        <v>rg:[ { 'req' : 'id' }, { 'req': 'historyText'} ]</v>
      </c>
      <c r="Y260" s="15" t="str">
        <f>IF(LEN(Table2[[#This Row],[!Unique]])&gt;0,"rg:True","rg:None")</f>
        <v>rg:None</v>
      </c>
    </row>
    <row r="261" spans="1:25" x14ac:dyDescent="0.3">
      <c r="A261" s="18" t="s">
        <v>198</v>
      </c>
      <c r="B261" s="3" t="s">
        <v>4</v>
      </c>
      <c r="C261" s="3"/>
      <c r="D261" s="18" t="s">
        <v>198</v>
      </c>
      <c r="E261" s="42"/>
      <c r="F261" s="3" t="s">
        <v>5</v>
      </c>
      <c r="G261" s="4"/>
      <c r="H261" s="4"/>
      <c r="I261" s="5" t="str">
        <f>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table</v>
      </c>
      <c r="T261" s="9" t="str">
        <f>IF(LEN(Table2[[#This Row],[!Length]]) &gt; 0, Table2[[#This Row],[!Length]], "rg:None")</f>
        <v>rg:None</v>
      </c>
      <c r="U261" s="9" t="str">
        <f>IF(LEN(Table2[[#This Row],[!Name]]) &gt; 0, Table2[[#This Row],[!Name]], "rg:None")</f>
        <v>LocalArea</v>
      </c>
      <c r="V261" s="9" t="str">
        <f>IF(LEN(Table2[[#This Row],[!Description]]) &gt; 0, Table2[[#This Row],[!Description]], "rg:None")</f>
        <v>rg:None</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18" t="s">
        <v>198</v>
      </c>
      <c r="B262" s="3" t="s">
        <v>6</v>
      </c>
      <c r="C262" s="3"/>
      <c r="D262" s="3" t="s">
        <v>6</v>
      </c>
      <c r="E262" s="42" t="s">
        <v>522</v>
      </c>
      <c r="F262" s="3" t="s">
        <v>5</v>
      </c>
      <c r="G262" s="4" t="s">
        <v>70</v>
      </c>
      <c r="H262" s="4"/>
      <c r="I262" s="5" t="str">
        <f>IF(LEN(A262) &gt; 0,"Defs","-")</f>
        <v>Defs</v>
      </c>
      <c r="J262" t="str">
        <f>IF(Table2[[#This Row],[!Type]]=J$1, J$1,"rg:None")</f>
        <v>rg:None</v>
      </c>
      <c r="K262" t="str">
        <f>IF(Table2[[#This Row],[!Type]]=K$1, K$1,"rg:None")</f>
        <v>rg:None</v>
      </c>
      <c r="L262" t="str">
        <f>IF(Table2[[#This Row],[!Type]]=L$1, L$1,"rg:None")</f>
        <v>rg:None</v>
      </c>
      <c r="M262" t="str">
        <f>IF(Table2[[#This Row],[!Type]]=M$1, M$1,"rg:None")</f>
        <v>id</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9" t="str">
        <f>IF(LEN(Table2[[#This Row],[!Length]]) &gt; 0, Table2[[#This Row],[!Length]], "rg:None")</f>
        <v>rg:None</v>
      </c>
      <c r="U262" s="9" t="str">
        <f>IF(LEN(Table2[[#This Row],[!Name]]) &gt; 0, Table2[[#This Row],[!Name]], "rg:None")</f>
        <v>id</v>
      </c>
      <c r="V262" s="9" t="str">
        <f>IF(LEN(Table2[[#This Row],[!Description]]) &gt; 0, Table2[[#This Row],[!Description]], "rg:None")</f>
        <v>A system-generated unique identifier for a LocalArea</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18" t="s">
        <v>198</v>
      </c>
      <c r="B263" s="3" t="s">
        <v>7</v>
      </c>
      <c r="C263" s="3">
        <v>255</v>
      </c>
      <c r="D263" s="3" t="s">
        <v>15</v>
      </c>
      <c r="E263" s="64" t="s">
        <v>199</v>
      </c>
      <c r="F263" s="3" t="s">
        <v>5</v>
      </c>
      <c r="G263" s="4"/>
      <c r="H263" s="4"/>
      <c r="I263" s="5" t="str">
        <f>IF(LEN(A263) &gt; 0,"Defs","-")</f>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name</v>
      </c>
      <c r="V263" s="9" t="str">
        <f>IF(LEN(Table2[[#This Row],[!Description]]) &gt; 0, Table2[[#This Row],[!Description]], "rg:None")</f>
        <v>The full name of the Local Area</v>
      </c>
      <c r="W263" s="9" t="str">
        <f>IF(LEN(Table2[[#This Row],[!FK]])&gt;0,Table2[[#This Row],[!FK]],"rg:None")</f>
        <v>rg:None</v>
      </c>
      <c r="X263" s="9" t="str">
        <f>IF(LEN(concatif2(A:A,Table2[[#This Row],[!Table]],G:G,"Y",D:D,",")) &gt; 0,"rg:[ { 'req' : '"&amp;concatif2(A:A,Table2[[#This Row],[!Table]],G:G,"Y",D:D,"' }, { 'req': '")&amp;"'} ]","rg:[]")</f>
        <v>rg:[ { 'req' : 'id'} ]</v>
      </c>
      <c r="Y263" s="9" t="str">
        <f>IF(LEN(Table2[[#This Row],[!Unique]])&gt;0,"rg:True","rg:None")</f>
        <v>rg:None</v>
      </c>
    </row>
    <row r="264" spans="1:25" x14ac:dyDescent="0.3">
      <c r="A264" s="18" t="s">
        <v>198</v>
      </c>
      <c r="B264" s="3" t="s">
        <v>8</v>
      </c>
      <c r="C264" s="3"/>
      <c r="D264" s="18" t="s">
        <v>200</v>
      </c>
      <c r="E264" s="64" t="s">
        <v>201</v>
      </c>
      <c r="F264" s="18" t="s">
        <v>10</v>
      </c>
      <c r="G264" s="4"/>
      <c r="H264" s="4"/>
      <c r="I264" s="5" t="str">
        <f>IF(LEN(A264) &gt; 0,"Defs","-")</f>
        <v>Defs</v>
      </c>
      <c r="J264" t="str">
        <f>IF(Table2[[#This Row],[!Type]]=J$1, J$1,"rg:None")</f>
        <v>rg:None</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ref</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serviceArea</v>
      </c>
      <c r="V264" s="9" t="str">
        <f>IF(LEN(Table2[[#This Row],[!Description]]) &gt; 0, Table2[[#This Row],[!Description]], "rg:None")</f>
        <v>The Service Area in which the Local Area is found.</v>
      </c>
      <c r="W264" s="9" t="str">
        <f>IF(LEN(Table2[[#This Row],[!FK]])&gt;0,Table2[[#This Row],[!FK]],"rg:None")</f>
        <v>ServiceArea</v>
      </c>
      <c r="X264" s="9" t="str">
        <f>IF(LEN(concatif2(A:A,Table2[[#This Row],[!Table]],G:G,"Y",D:D,",")) &gt; 0,"rg:[ { 'req' : '"&amp;concatif2(A:A,Table2[[#This Row],[!Table]],G:G,"Y",D:D,"' }, { 'req': '")&amp;"'} ]","rg:[]")</f>
        <v>rg:[ { 'req' : 'id'} ]</v>
      </c>
      <c r="Y264" s="9" t="str">
        <f>IF(LEN(Table2[[#This Row],[!Unique]])&gt;0,"rg:True","rg:None")</f>
        <v>rg:None</v>
      </c>
    </row>
    <row r="265" spans="1:25" x14ac:dyDescent="0.3">
      <c r="A265" s="3" t="s">
        <v>22</v>
      </c>
      <c r="B265" s="3" t="s">
        <v>4</v>
      </c>
      <c r="C265" s="3"/>
      <c r="D265" s="3" t="s">
        <v>22</v>
      </c>
      <c r="E265" s="42" t="s">
        <v>71</v>
      </c>
      <c r="F265" s="3" t="s">
        <v>5</v>
      </c>
      <c r="G265" s="4"/>
      <c r="H265" s="4"/>
      <c r="I265" s="5" t="str">
        <f t="shared" ref="I265:I300" si="18">IF(LEN(A265) &gt; 0,"Defs","-")</f>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9" t="str">
        <f>IF(LEN(Table2[[#This Row],[!Length]]) &gt; 0, Table2[[#This Row],[!Length]], "rg:None")</f>
        <v>rg:None</v>
      </c>
      <c r="U265" s="9" t="str">
        <f>IF(LEN(Table2[[#This Row],[!Name]]) &gt; 0, Table2[[#This Row],[!Name]], "rg:None")</f>
        <v>FavouriteContextType</v>
      </c>
      <c r="V265" s="9" t="str">
        <f>IF(LEN(Table2[[#This Row],[!Description]]) &gt; 0, Table2[[#This Row],[!Description]], "rg:None")</f>
        <v>The name for a place in the UI where per user settings can be stored - for example, the School Bus search screen, School Bus Owner search screen, etc.</v>
      </c>
      <c r="W265" s="9" t="str">
        <f>IF(LEN(Table2[[#This Row],[!FK]])&gt;0,Table2[[#This Row],[!FK]],"rg:None")</f>
        <v>rg:None</v>
      </c>
      <c r="X265" s="9" t="str">
        <f>IF(LEN(concatif2(A:A,Table2[[#This Row],[!Table]],G:G,"Y",D:D,",")) &gt; 0,"rg:[ { 'req' : '"&amp;concatif2(A:A,Table2[[#This Row],[!Table]],G:G,"Y",D:D,"' }, { 'req': '")&amp;"'} ]","rg:[]")</f>
        <v>rg:[ { 'req' : 'id'} ]</v>
      </c>
      <c r="Y265" s="9" t="str">
        <f>IF(LEN(Table2[[#This Row],[!Unique]])&gt;0,"rg:True","rg:None")</f>
        <v>rg:None</v>
      </c>
    </row>
    <row r="266" spans="1:25" x14ac:dyDescent="0.3">
      <c r="A266" s="3" t="s">
        <v>22</v>
      </c>
      <c r="B266" s="3" t="s">
        <v>6</v>
      </c>
      <c r="C266" s="3"/>
      <c r="D266" s="3" t="s">
        <v>6</v>
      </c>
      <c r="E266" s="42" t="s">
        <v>523</v>
      </c>
      <c r="F266" s="3" t="s">
        <v>5</v>
      </c>
      <c r="G266" s="4" t="s">
        <v>70</v>
      </c>
      <c r="H266" s="4"/>
      <c r="I266" s="5" t="str">
        <f t="shared" si="18"/>
        <v>Defs</v>
      </c>
      <c r="J266" t="str">
        <f>IF(Table2[[#This Row],[!Type]]=J$1, J$1,"rg:None")</f>
        <v>rg:None</v>
      </c>
      <c r="K266" t="str">
        <f>IF(Table2[[#This Row],[!Type]]=K$1, K$1,"rg:None")</f>
        <v>rg:None</v>
      </c>
      <c r="L266" t="str">
        <f>IF(Table2[[#This Row],[!Type]]=L$1, L$1,"rg:None")</f>
        <v>rg:None</v>
      </c>
      <c r="M266" t="str">
        <f>IF(Table2[[#This Row],[!Type]]=M$1, M$1,"rg:None")</f>
        <v>id</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9" t="str">
        <f>IF(LEN(Table2[[#This Row],[!Length]]) &gt; 0, Table2[[#This Row],[!Length]], "rg:None")</f>
        <v>rg:None</v>
      </c>
      <c r="U266" s="9" t="str">
        <f>IF(LEN(Table2[[#This Row],[!Name]]) &gt; 0, Table2[[#This Row],[!Name]], "rg:None")</f>
        <v>id</v>
      </c>
      <c r="V266" s="9" t="str">
        <f>IF(LEN(Table2[[#This Row],[!Description]]) &gt; 0, Table2[[#This Row],[!Description]], "rg:None")</f>
        <v>A system-generated unique identifier for a FavouriteContextType</v>
      </c>
      <c r="W266" s="9" t="str">
        <f>IF(LEN(Table2[[#This Row],[!FK]])&gt;0,Table2[[#This Row],[!FK]],"rg:None")</f>
        <v>rg:None</v>
      </c>
      <c r="X266" s="9" t="str">
        <f>IF(LEN(concatif2(A:A,Table2[[#This Row],[!Table]],G:G,"Y",D:D,",")) &gt; 0,"rg:[ { 'req' : '"&amp;concatif2(A:A,Table2[[#This Row],[!Table]],G:G,"Y",D:D,"' }, { 'req': '")&amp;"'} ]","rg:[]")</f>
        <v>rg:[ { 'req' : 'id'} ]</v>
      </c>
      <c r="Y266" s="9" t="str">
        <f>IF(LEN(Table2[[#This Row],[!Unique]])&gt;0,"rg:True","rg:None")</f>
        <v>rg:None</v>
      </c>
    </row>
    <row r="267" spans="1:25" x14ac:dyDescent="0.3">
      <c r="A267" s="3" t="s">
        <v>22</v>
      </c>
      <c r="B267" s="3" t="s">
        <v>7</v>
      </c>
      <c r="C267" s="3">
        <v>255</v>
      </c>
      <c r="D267" s="3" t="s">
        <v>15</v>
      </c>
      <c r="E267" s="42" t="s">
        <v>23</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name</v>
      </c>
      <c r="V267" s="9" t="str">
        <f>IF(LEN(Table2[[#This Row],[!Description]]) &gt; 0, Table2[[#This Row],[!Description]], "rg:None")</f>
        <v>Context Name known by the UI.</v>
      </c>
      <c r="W267" s="9" t="str">
        <f>IF(LEN(Table2[[#This Row],[!FK]])&gt;0,Table2[[#This Row],[!FK]],"rg:None")</f>
        <v>rg:None</v>
      </c>
      <c r="X267" s="9" t="str">
        <f>IF(LEN(concatif2(A:A,Table2[[#This Row],[!Table]],G:G,"Y",D:D,",")) &gt; 0,"rg:[ { 'req' : '"&amp;concatif2(A:A,Table2[[#This Row],[!Table]],G:G,"Y",D:D,"' }, { 'req': '")&amp;"'} ]","rg:[]")</f>
        <v>rg:[ { 'req' : 'id'} ]</v>
      </c>
      <c r="Y267" s="9" t="str">
        <f>IF(LEN(Table2[[#This Row],[!Unique]])&gt;0,"rg:True","rg:None")</f>
        <v>rg:None</v>
      </c>
    </row>
    <row r="268" spans="1:25" x14ac:dyDescent="0.3">
      <c r="A268" s="3" t="s">
        <v>24</v>
      </c>
      <c r="B268" s="3" t="s">
        <v>4</v>
      </c>
      <c r="C268" s="3"/>
      <c r="D268" s="3" t="s">
        <v>24</v>
      </c>
      <c r="E268" s="42" t="s">
        <v>72</v>
      </c>
      <c r="F268" s="3" t="s">
        <v>5</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table</v>
      </c>
      <c r="T268" s="9" t="str">
        <f>IF(LEN(Table2[[#This Row],[!Length]]) &gt; 0, Table2[[#This Row],[!Length]], "rg:None")</f>
        <v>rg:None</v>
      </c>
      <c r="U268" s="9" t="str">
        <f>IF(LEN(Table2[[#This Row],[!Name]]) &gt; 0, Table2[[#This Row],[!Name]], "rg:None")</f>
        <v>UserFavourite</v>
      </c>
      <c r="V268" s="9" t="str">
        <f>IF(LEN(Table2[[#This Row],[!Description]]) &gt; 0, Table2[[#This Row],[!Description]], "rg:None")</f>
        <v>User specific settings for a specific location in the UI. The location and saved settings are internally defined by the UI.</v>
      </c>
      <c r="W268" s="9" t="str">
        <f>IF(LEN(Table2[[#This Row],[!FK]])&gt;0,Table2[[#This Row],[!FK]],"rg:None")</f>
        <v>rg:None</v>
      </c>
      <c r="X268" s="9" t="str">
        <f>IF(LEN(concatif2(A:A,Table2[[#This Row],[!Table]],G:G,"Y",D:D,",")) &gt; 0,"rg:[ { 'req' : '"&amp;concatif2(A:A,Table2[[#This Row],[!Table]],G:G,"Y",D:D,"' }, { 'req': '")&amp;"'} ]","rg:[]")</f>
        <v>rg:[ { 'req' : 'id'} ]</v>
      </c>
      <c r="Y268" s="9" t="str">
        <f>IF(LEN(Table2[[#This Row],[!Unique]])&gt;0,"rg:True","rg:None")</f>
        <v>rg:None</v>
      </c>
    </row>
    <row r="269" spans="1:25" x14ac:dyDescent="0.3">
      <c r="A269" s="3" t="s">
        <v>24</v>
      </c>
      <c r="B269" s="3" t="s">
        <v>6</v>
      </c>
      <c r="C269" s="3"/>
      <c r="D269" s="3" t="s">
        <v>6</v>
      </c>
      <c r="E269" s="42" t="s">
        <v>477</v>
      </c>
      <c r="F269" s="3" t="s">
        <v>5</v>
      </c>
      <c r="G269" s="4" t="s">
        <v>70</v>
      </c>
      <c r="H269" s="71" t="s">
        <v>70</v>
      </c>
      <c r="I269" s="5" t="str">
        <f t="shared" si="18"/>
        <v>Defs</v>
      </c>
      <c r="J269" t="str">
        <f>IF(Table2[[#This Row],[!Type]]=J$1, J$1,"rg:None")</f>
        <v>rg:None</v>
      </c>
      <c r="K269" t="str">
        <f>IF(Table2[[#This Row],[!Type]]=K$1, K$1,"rg:None")</f>
        <v>rg:None</v>
      </c>
      <c r="L269" t="str">
        <f>IF(Table2[[#This Row],[!Type]]=L$1, L$1,"rg:None")</f>
        <v>rg:None</v>
      </c>
      <c r="M269" t="str">
        <f>IF(Table2[[#This Row],[!Type]]=M$1, M$1,"rg:None")</f>
        <v>id</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id</v>
      </c>
      <c r="V269" s="9" t="str">
        <f>IF(LEN(Table2[[#This Row],[!Description]]) &gt; 0, Table2[[#This Row],[!Description]], "rg:None")</f>
        <v>A system-generated unique identifier for a UserFavourite</v>
      </c>
      <c r="W269" s="9" t="str">
        <f>IF(LEN(Table2[[#This Row],[!FK]])&gt;0,Table2[[#This Row],[!FK]],"rg:None")</f>
        <v>rg:None</v>
      </c>
      <c r="X269" s="9" t="str">
        <f>IF(LEN(concatif2(A:A,Table2[[#This Row],[!Table]],G:G,"Y",D:D,",")) &gt; 0,"rg:[ { 'req' : '"&amp;concatif2(A:A,Table2[[#This Row],[!Table]],G:G,"Y",D:D,"' }, { 'req': '")&amp;"'} ]","rg:[]")</f>
        <v>rg:[ { 'req' : 'id'} ]</v>
      </c>
      <c r="Y269" s="9" t="str">
        <f>IF(LEN(Table2[[#This Row],[!Unique]])&gt;0,"rg:True","rg:None")</f>
        <v>rg:True</v>
      </c>
    </row>
    <row r="270" spans="1:25" x14ac:dyDescent="0.3">
      <c r="A270" s="3" t="s">
        <v>24</v>
      </c>
      <c r="B270" s="3" t="s">
        <v>7</v>
      </c>
      <c r="C270" s="3">
        <v>255</v>
      </c>
      <c r="D270" s="3" t="s">
        <v>15</v>
      </c>
      <c r="E270" s="42" t="s">
        <v>25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name</v>
      </c>
      <c r="V270" s="9" t="str">
        <f>IF(LEN(Table2[[#This Row],[!Description]]) &gt; 0, Table2[[#This Row],[!Description]], "rg:None")</f>
        <v>The user-defined name for the recorded settings. Allows the user to save different groups of settings and access each one easily when needed.</v>
      </c>
      <c r="W270" s="9" t="str">
        <f>IF(LEN(Table2[[#This Row],[!FK]])&gt;0,Table2[[#This Row],[!FK]],"rg:None")</f>
        <v>rg:None</v>
      </c>
      <c r="X270" s="9" t="str">
        <f>IF(LEN(concatif2(A:A,Table2[[#This Row],[!Table]],G:G,"Y",D:D,",")) &gt; 0,"rg:[ { 'req' : '"&amp;concatif2(A:A,Table2[[#This Row],[!Table]],G:G,"Y",D:D,"' }, { 'req': '")&amp;"'} ]","rg:[]")</f>
        <v>rg:[ { 'req' : 'id'} ]</v>
      </c>
      <c r="Y270" s="9" t="str">
        <f>IF(LEN(Table2[[#This Row],[!Unique]])&gt;0,"rg:True","rg:None")</f>
        <v>rg:None</v>
      </c>
    </row>
    <row r="271" spans="1:25" x14ac:dyDescent="0.3">
      <c r="A271" s="3" t="s">
        <v>24</v>
      </c>
      <c r="B271" s="3" t="s">
        <v>7</v>
      </c>
      <c r="C271" s="3">
        <v>2048</v>
      </c>
      <c r="D271" s="3" t="s">
        <v>26</v>
      </c>
      <c r="E271" s="42" t="s">
        <v>27</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2048</v>
      </c>
      <c r="U271" s="9" t="str">
        <f>IF(LEN(Table2[[#This Row],[!Name]]) &gt; 0, Table2[[#This Row],[!Name]], "rg:None")</f>
        <v>value</v>
      </c>
      <c r="V271" s="9" t="str">
        <f>IF(LEN(Table2[[#This Row],[!Description]]) &gt; 0, Table2[[#This Row],[!Description]], "rg:None")</f>
        <v>The settings saved by the user. In general,  a UI defined chunk of json that stores the settings in place when the user created the favourite.</v>
      </c>
      <c r="W271" s="9" t="str">
        <f>IF(LEN(Table2[[#This Row],[!FK]])&gt;0,Table2[[#This Row],[!FK]],"rg:None")</f>
        <v>rg:None</v>
      </c>
      <c r="X271" s="9" t="str">
        <f>IF(LEN(concatif2(A:A,Table2[[#This Row],[!Table]],G:G,"Y",D:D,",")) &gt; 0,"rg:[ { 'req' : '"&amp;concatif2(A:A,Table2[[#This Row],[!Table]],G:G,"Y",D:D,"' }, { 'req': '")&amp;"'} ]","rg:[]")</f>
        <v>rg:[ { 'req' : 'id'} ]</v>
      </c>
      <c r="Y271" s="9" t="str">
        <f>IF(LEN(Table2[[#This Row],[!Unique]])&gt;0,"rg:True","rg:None")</f>
        <v>rg:None</v>
      </c>
    </row>
    <row r="272" spans="1:25" x14ac:dyDescent="0.3">
      <c r="A272" s="3" t="s">
        <v>24</v>
      </c>
      <c r="B272" s="3" t="s">
        <v>9</v>
      </c>
      <c r="C272" s="3"/>
      <c r="D272" s="3" t="s">
        <v>28</v>
      </c>
      <c r="E272" s="42" t="s">
        <v>29</v>
      </c>
      <c r="F272" s="3" t="s">
        <v>5</v>
      </c>
      <c r="G272" s="4"/>
      <c r="H272" s="4"/>
      <c r="I272" s="5" t="str">
        <f t="shared" si="18"/>
        <v>Defs</v>
      </c>
      <c r="J272" t="str">
        <f>IF(Table2[[#This Row],[!Type]]=J$1, J$1,"rg:None")</f>
        <v>boolean</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isDefault</v>
      </c>
      <c r="V27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2" s="9" t="str">
        <f>IF(LEN(Table2[[#This Row],[!FK]])&gt;0,Table2[[#This Row],[!FK]],"rg:None")</f>
        <v>rg:None</v>
      </c>
      <c r="X272" s="9" t="str">
        <f>IF(LEN(concatif2(A:A,Table2[[#This Row],[!Table]],G:G,"Y",D:D,",")) &gt; 0,"rg:[ { 'req' : '"&amp;concatif2(A:A,Table2[[#This Row],[!Table]],G:G,"Y",D:D,"' }, { 'req': '")&amp;"'} ]","rg:[]")</f>
        <v>rg:[ { 'req' : 'id'} ]</v>
      </c>
      <c r="Y272" s="9" t="str">
        <f>IF(LEN(Table2[[#This Row],[!Unique]])&gt;0,"rg:True","rg:None")</f>
        <v>rg:None</v>
      </c>
    </row>
    <row r="273" spans="1:25" x14ac:dyDescent="0.3">
      <c r="A273" s="3" t="s">
        <v>24</v>
      </c>
      <c r="B273" s="52" t="s">
        <v>7</v>
      </c>
      <c r="C273" s="3">
        <v>255</v>
      </c>
      <c r="D273" s="52" t="s">
        <v>20</v>
      </c>
      <c r="E273" s="53" t="s">
        <v>303</v>
      </c>
      <c r="F273" s="3"/>
      <c r="G273" s="4"/>
      <c r="H273" s="4"/>
      <c r="I273" s="5" t="str">
        <f t="shared" si="18"/>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9">
        <f>IF(LEN(Table2[[#This Row],[!Length]]) &gt; 0, Table2[[#This Row],[!Length]], "rg:None")</f>
        <v>255</v>
      </c>
      <c r="U273" s="9" t="str">
        <f>IF(LEN(Table2[[#This Row],[!Name]]) &gt; 0, Table2[[#This Row],[!Name]], "rg:None")</f>
        <v>type</v>
      </c>
      <c r="V273" s="9" t="str">
        <f>IF(LEN(Table2[[#This Row],[!Description]]) &gt; 0, Table2[[#This Row],[!Description]], "rg:None")</f>
        <v>The type of Favourite</v>
      </c>
      <c r="W273" s="9" t="str">
        <f>IF(LEN(Table2[[#This Row],[!FK]])&gt;0,Table2[[#This Row],[!FK]],"rg:None")</f>
        <v>rg:None</v>
      </c>
      <c r="X273" s="9" t="str">
        <f>IF(LEN(concatif2(A:A,Table2[[#This Row],[!Table]],G:G,"Y",D:D,",")) &gt; 0,"rg:[ { 'req' : '"&amp;concatif2(A:A,Table2[[#This Row],[!Table]],G:G,"Y",D:D,"' }, { 'req': '")&amp;"'} ]","rg:[]")</f>
        <v>rg:[ { 'req' : 'id'} ]</v>
      </c>
      <c r="Y273" s="9" t="str">
        <f>IF(LEN(Table2[[#This Row],[!Unique]])&gt;0,"rg:True","rg:None")</f>
        <v>rg:None</v>
      </c>
    </row>
    <row r="274" spans="1:25" x14ac:dyDescent="0.3">
      <c r="A274" s="55" t="s">
        <v>24</v>
      </c>
      <c r="B274" s="55" t="s">
        <v>8</v>
      </c>
      <c r="C274" s="19"/>
      <c r="D274" s="55" t="s">
        <v>0</v>
      </c>
      <c r="E274" s="55" t="s">
        <v>304</v>
      </c>
      <c r="F274" s="56" t="s">
        <v>0</v>
      </c>
      <c r="G274" s="20"/>
      <c r="H274" s="20"/>
      <c r="I274" s="4" t="str">
        <f>IF(LEN(A274) &gt; 0,"Defs","-")</f>
        <v>Defs</v>
      </c>
      <c r="J274" s="15" t="str">
        <f>IF(Table2[[#This Row],[!Type]]=J$1, J$1,"rg:None")</f>
        <v>rg:None</v>
      </c>
      <c r="K274" s="54" t="str">
        <f>IF(Table2[[#This Row],[!Type]]=K$1, K$1,"rg:None")</f>
        <v>rg:None</v>
      </c>
      <c r="L274" s="15" t="str">
        <f>IF(Table2[[#This Row],[!Type]]=L$1, L$1,"rg:None")</f>
        <v>rg:None</v>
      </c>
      <c r="M274" s="15" t="str">
        <f>IF(Table2[[#This Row],[!Type]]=M$1, M$1,"rg:None")</f>
        <v>rg:None</v>
      </c>
      <c r="N274" s="15" t="str">
        <f>IF(Table2[[#This Row],[!Type]]=N$1, N$1,"rg:None")</f>
        <v>rg:None</v>
      </c>
      <c r="O274" s="15" t="str">
        <f>IF(Table2[[#This Row],[!Type]]=O$1, O$1,"rg:None")</f>
        <v>rg:None</v>
      </c>
      <c r="P274" s="4" t="str">
        <f>IF(Table2[[#This Row],[!Type]]=P$1, P$1,"rg:None")</f>
        <v>rg:None</v>
      </c>
      <c r="Q274" s="4" t="str">
        <f>IF(Table2[[#This Row],[!Type]]=Q$1, Q$1,"rg:None")</f>
        <v>ref</v>
      </c>
      <c r="R274" s="4" t="str">
        <f>IF(Table2[[#This Row],[!Type]]=R$1, R$1,"rg:None")</f>
        <v>rg:None</v>
      </c>
      <c r="S274" s="4" t="str">
        <f>IF(Table2[[#This Row],[!Type]]=S$1, S$1,"rg:None")</f>
        <v>rg:None</v>
      </c>
      <c r="T274" s="15" t="str">
        <f>IF(LEN(Table2[[#This Row],[!Length]]) &gt; 0, Table2[[#This Row],[!Length]], "rg:None")</f>
        <v>rg:None</v>
      </c>
      <c r="U274" s="15" t="str">
        <f>IF(LEN(Table2[[#This Row],[!Name]]) &gt; 0, Table2[[#This Row],[!Name]], "rg:None")</f>
        <v>User</v>
      </c>
      <c r="V274" s="15" t="str">
        <f>IF(LEN(Table2[[#This Row],[!Description]]) &gt; 0, Table2[[#This Row],[!Description]], "rg:None")</f>
        <v>The User who has this Favourite</v>
      </c>
      <c r="W274" s="15" t="str">
        <f>IF(LEN(Table2[[#This Row],[!FK]])&gt;0,Table2[[#This Row],[!FK]],"rg:None")</f>
        <v>User</v>
      </c>
      <c r="X274" s="15" t="str">
        <f>IF(LEN(concatif2(A:A,Table2[[#This Row],[!Table]],G:G,"Y",D:D,",")) &gt; 0,"rg:[ { 'req' : '"&amp;concatif2(A:A,Table2[[#This Row],[!Table]],G:G,"Y",D:D,"' }, { 'req': '")&amp;"'} ]","rg:[]")</f>
        <v>rg:[ { 'req' : 'id'} ]</v>
      </c>
      <c r="Y274" s="15" t="str">
        <f>IF(LEN(Table2[[#This Row],[!Unique]])&gt;0,"rg:True","rg:None")</f>
        <v>rg:None</v>
      </c>
    </row>
    <row r="275" spans="1:25" x14ac:dyDescent="0.3">
      <c r="A275" s="3" t="s">
        <v>30</v>
      </c>
      <c r="B275" s="3" t="s">
        <v>4</v>
      </c>
      <c r="C275" s="3"/>
      <c r="D275" s="3" t="s">
        <v>30</v>
      </c>
      <c r="E275" s="42" t="s">
        <v>478</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Region</v>
      </c>
      <c r="V275" s="9" t="str">
        <f>IF(LEN(Table2[[#This Row],[!Description]]) &gt; 0, Table2[[#This Row],[!Description]], "rg:None")</f>
        <v>The MOTI-defined Regions - must match the official MOTI List</v>
      </c>
      <c r="W275" s="9" t="str">
        <f>IF(LEN(Table2[[#This Row],[!FK]])&gt;0,Table2[[#This Row],[!FK]],"rg:None")</f>
        <v>rg:None</v>
      </c>
      <c r="X275" s="9" t="str">
        <f>IF(LEN(concatif2(A:A,Table2[[#This Row],[!Table]],G:G,"Y",D:D,",")) &gt; 0,"rg:[ { 'req' : '"&amp;concatif2(A:A,Table2[[#This Row],[!Table]],G:G,"Y",D:D,"' }, { 'req': '")&amp;"'} ]","rg:[]")</f>
        <v>rg:[ { 'req' : 'id' }, { 'req': 'ministryRegionID' }, { 'req': 'name'} ]</v>
      </c>
      <c r="Y275" s="9" t="str">
        <f>IF(LEN(Table2[[#This Row],[!Unique]])&gt;0,"rg:True","rg:None")</f>
        <v>rg:None</v>
      </c>
    </row>
    <row r="276" spans="1:25" x14ac:dyDescent="0.3">
      <c r="A276" s="3" t="s">
        <v>30</v>
      </c>
      <c r="B276" s="3" t="s">
        <v>6</v>
      </c>
      <c r="C276" s="3"/>
      <c r="D276" s="3" t="s">
        <v>6</v>
      </c>
      <c r="E276" s="42" t="s">
        <v>479</v>
      </c>
      <c r="F276" s="3" t="s">
        <v>5</v>
      </c>
      <c r="G276" s="4" t="s">
        <v>70</v>
      </c>
      <c r="H276" s="71" t="s">
        <v>70</v>
      </c>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Region</v>
      </c>
      <c r="W276" s="9" t="str">
        <f>IF(LEN(Table2[[#This Row],[!FK]])&gt;0,Table2[[#This Row],[!FK]],"rg:None")</f>
        <v>rg:None</v>
      </c>
      <c r="X276" s="9" t="str">
        <f>IF(LEN(concatif2(A:A,Table2[[#This Row],[!Table]],G:G,"Y",D:D,",")) &gt; 0,"rg:[ { 'req' : '"&amp;concatif2(A:A,Table2[[#This Row],[!Table]],G:G,"Y",D:D,"' }, { 'req': '")&amp;"'} ]","rg:[]")</f>
        <v>rg:[ { 'req' : 'id' }, { 'req': 'ministryRegionID' }, { 'req': 'name'} ]</v>
      </c>
      <c r="Y276" s="9" t="str">
        <f>IF(LEN(Table2[[#This Row],[!Unique]])&gt;0,"rg:True","rg:None")</f>
        <v>rg:True</v>
      </c>
    </row>
    <row r="277" spans="1:25" x14ac:dyDescent="0.3">
      <c r="A277" s="3" t="s">
        <v>30</v>
      </c>
      <c r="B277" s="3" t="s">
        <v>13</v>
      </c>
      <c r="C277" s="3"/>
      <c r="D277" s="3" t="s">
        <v>31</v>
      </c>
      <c r="E277" s="42" t="s">
        <v>32</v>
      </c>
      <c r="F277" s="3" t="s">
        <v>5</v>
      </c>
      <c r="G277" s="71" t="s">
        <v>70</v>
      </c>
      <c r="H277" s="71" t="s">
        <v>70</v>
      </c>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integer</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ministryRegionID</v>
      </c>
      <c r="V277" s="9" t="str">
        <f>IF(LEN(Table2[[#This Row],[!Description]]) &gt; 0, Table2[[#This Row],[!Description]], "rg:None")</f>
        <v>The Ministry ID for the Region</v>
      </c>
      <c r="W277" s="9" t="str">
        <f>IF(LEN(Table2[[#This Row],[!FK]])&gt;0,Table2[[#This Row],[!FK]],"rg:None")</f>
        <v>rg:None</v>
      </c>
      <c r="X277" s="9" t="str">
        <f>IF(LEN(concatif2(A:A,Table2[[#This Row],[!Table]],G:G,"Y",D:D,",")) &gt; 0,"rg:[ { 'req' : '"&amp;concatif2(A:A,Table2[[#This Row],[!Table]],G:G,"Y",D:D,"' }, { 'req': '")&amp;"'} ]","rg:[]")</f>
        <v>rg:[ { 'req' : 'id' }, { 'req': 'ministryRegionID' }, { 'req': 'name'} ]</v>
      </c>
      <c r="Y277" s="9" t="str">
        <f>IF(LEN(Table2[[#This Row],[!Unique]])&gt;0,"rg:True","rg:None")</f>
        <v>rg:True</v>
      </c>
    </row>
    <row r="278" spans="1:25" x14ac:dyDescent="0.3">
      <c r="A278" s="3" t="s">
        <v>30</v>
      </c>
      <c r="B278" s="3" t="s">
        <v>7</v>
      </c>
      <c r="C278" s="3">
        <v>255</v>
      </c>
      <c r="D278" s="3" t="s">
        <v>15</v>
      </c>
      <c r="E278" s="42" t="s">
        <v>33</v>
      </c>
      <c r="F278" s="3" t="s">
        <v>5</v>
      </c>
      <c r="G278" s="71" t="s">
        <v>70</v>
      </c>
      <c r="H278" s="71"/>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Region</v>
      </c>
      <c r="W278" s="9" t="str">
        <f>IF(LEN(Table2[[#This Row],[!FK]])&gt;0,Table2[[#This Row],[!FK]],"rg:None")</f>
        <v>rg:None</v>
      </c>
      <c r="X278" s="9" t="str">
        <f>IF(LEN(concatif2(A:A,Table2[[#This Row],[!Table]],G:G,"Y",D:D,",")) &gt; 0,"rg:[ { 'req' : '"&amp;concatif2(A:A,Table2[[#This Row],[!Table]],G:G,"Y",D:D,"' }, { 'req': '")&amp;"'} ]","rg:[]")</f>
        <v>rg:[ { 'req' : 'id' }, { 'req': 'ministryRegionID' }, { 'req': 'name'} ]</v>
      </c>
      <c r="Y278" s="9" t="str">
        <f>IF(LEN(Table2[[#This Row],[!Unique]])&gt;0,"rg:True","rg:None")</f>
        <v>rg:None</v>
      </c>
    </row>
    <row r="279" spans="1:25" x14ac:dyDescent="0.3">
      <c r="A279" s="3" t="s">
        <v>30</v>
      </c>
      <c r="B279" s="3" t="s">
        <v>12</v>
      </c>
      <c r="C279" s="3"/>
      <c r="D279" s="3" t="s">
        <v>34</v>
      </c>
      <c r="E279" s="63" t="s">
        <v>480</v>
      </c>
      <c r="F279" s="3" t="s">
        <v>5</v>
      </c>
      <c r="G279" s="4"/>
      <c r="H279" s="4"/>
      <c r="I279" s="5" t="str">
        <f t="shared" si="18"/>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startDate</v>
      </c>
      <c r="V279" s="9" t="str">
        <f>IF(LEN(Table2[[#This Row],[!Description]]) &gt; 0, Table2[[#This Row],[!Description]], "rg:None")</f>
        <v>The effective date of the Region record - NOT CURRENTLY ENFORCED IN SCHOOL BUS</v>
      </c>
      <c r="W279" s="9" t="str">
        <f>IF(LEN(Table2[[#This Row],[!FK]])&gt;0,Table2[[#This Row],[!FK]],"rg:None")</f>
        <v>rg:None</v>
      </c>
      <c r="X279" s="9" t="str">
        <f>IF(LEN(concatif2(A:A,Table2[[#This Row],[!Table]],G:G,"Y",D:D,",")) &gt; 0,"rg:[ { 'req' : '"&amp;concatif2(A:A,Table2[[#This Row],[!Table]],G:G,"Y",D:D,"' }, { 'req': '")&amp;"'} ]","rg:[]")</f>
        <v>rg:[ { 'req' : 'id' }, { 'req': 'ministryRegionID' }, { 'req': 'name'} ]</v>
      </c>
      <c r="Y279" s="9" t="str">
        <f>IF(LEN(Table2[[#This Row],[!Unique]])&gt;0,"rg:True","rg:None")</f>
        <v>rg:None</v>
      </c>
    </row>
    <row r="280" spans="1:25" x14ac:dyDescent="0.3">
      <c r="A280" s="3" t="s">
        <v>30</v>
      </c>
      <c r="B280" s="3" t="s">
        <v>12</v>
      </c>
      <c r="C280" s="3"/>
      <c r="D280" s="3" t="s">
        <v>35</v>
      </c>
      <c r="E280" s="63" t="s">
        <v>481</v>
      </c>
      <c r="F280" s="3" t="s">
        <v>5</v>
      </c>
      <c r="G280" s="4"/>
      <c r="H280" s="4"/>
      <c r="I280" s="5" t="str">
        <f t="shared" si="18"/>
        <v>Defs</v>
      </c>
      <c r="J280" t="str">
        <f>IF(Table2[[#This Row],[!Type]]=J$1, J$1,"rg:None")</f>
        <v>rg:None</v>
      </c>
      <c r="K280" t="str">
        <f>IF(Table2[[#This Row],[!Type]]=K$1, K$1,"rg:None")</f>
        <v>rg:None</v>
      </c>
      <c r="L280" t="str">
        <f>IF(Table2[[#This Row],[!Type]]=L$1, L$1,"rg:None")</f>
        <v>datetime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endDate</v>
      </c>
      <c r="V280" s="9" t="str">
        <f>IF(LEN(Table2[[#This Row],[!Description]]) &gt; 0, Table2[[#This Row],[!Description]], "rg:None")</f>
        <v>The end date of the Region record; null if active - NOT CURRENTLY ENFORCED IN SCHOOL BUS</v>
      </c>
      <c r="W280" s="9" t="str">
        <f>IF(LEN(Table2[[#This Row],[!FK]])&gt;0,Table2[[#This Row],[!FK]],"rg:None")</f>
        <v>rg:None</v>
      </c>
      <c r="X280" s="9" t="str">
        <f>IF(LEN(concatif2(A:A,Table2[[#This Row],[!Table]],G:G,"Y",D:D,",")) &gt; 0,"rg:[ { 'req' : '"&amp;concatif2(A:A,Table2[[#This Row],[!Table]],G:G,"Y",D:D,"' }, { 'req': '")&amp;"'} ]","rg:[]")</f>
        <v>rg:[ { 'req' : 'id' }, { 'req': 'ministryRegionID' }, { 'req': 'name'} ]</v>
      </c>
      <c r="Y280" s="9" t="str">
        <f>IF(LEN(Table2[[#This Row],[!Unique]])&gt;0,"rg:True","rg:None")</f>
        <v>rg:None</v>
      </c>
    </row>
    <row r="281" spans="1:25" x14ac:dyDescent="0.3">
      <c r="A281" s="3" t="s">
        <v>36</v>
      </c>
      <c r="B281" s="3" t="s">
        <v>4</v>
      </c>
      <c r="C281" s="3"/>
      <c r="D281" s="3" t="s">
        <v>36</v>
      </c>
      <c r="E281" s="42" t="s">
        <v>482</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District</v>
      </c>
      <c r="V281" s="9" t="str">
        <f>IF(LEN(Table2[[#This Row],[!Description]]) &gt; 0, Table2[[#This Row],[!Description]], "rg:None")</f>
        <v>The MOTI-defined Districts - must match the official MOTI List</v>
      </c>
      <c r="W281" s="9" t="str">
        <f>IF(LEN(Table2[[#This Row],[!FK]])&gt;0,Table2[[#This Row],[!FK]],"rg:None")</f>
        <v>rg:None</v>
      </c>
      <c r="X281" s="9" t="str">
        <f>IF(LEN(concatif2(A:A,Table2[[#This Row],[!Table]],G:G,"Y",D:D,",")) &gt; 0,"rg:[ { 'req' : '"&amp;concatif2(A:A,Table2[[#This Row],[!Table]],G:G,"Y",D:D,"' }, { 'req': '")&amp;"'} ]","rg:[]")</f>
        <v>rg:[ { 'req' : 'id' }, { 'req': 'ministryDistrictID' }, { 'req': 'name'} ]</v>
      </c>
      <c r="Y281" s="9" t="str">
        <f>IF(LEN(Table2[[#This Row],[!Unique]])&gt;0,"rg:True","rg:None")</f>
        <v>rg:None</v>
      </c>
    </row>
    <row r="282" spans="1:25" x14ac:dyDescent="0.3">
      <c r="A282" s="3" t="s">
        <v>36</v>
      </c>
      <c r="B282" s="3" t="s">
        <v>6</v>
      </c>
      <c r="C282" s="3"/>
      <c r="D282" s="3" t="s">
        <v>6</v>
      </c>
      <c r="E282" s="42" t="s">
        <v>483</v>
      </c>
      <c r="F282" s="3" t="s">
        <v>5</v>
      </c>
      <c r="G282" s="4" t="s">
        <v>70</v>
      </c>
      <c r="H282" s="71" t="s">
        <v>70</v>
      </c>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District</v>
      </c>
      <c r="W282" s="9" t="str">
        <f>IF(LEN(Table2[[#This Row],[!FK]])&gt;0,Table2[[#This Row],[!FK]],"rg:None")</f>
        <v>rg:None</v>
      </c>
      <c r="X282" s="9" t="str">
        <f>IF(LEN(concatif2(A:A,Table2[[#This Row],[!Table]],G:G,"Y",D:D,",")) &gt; 0,"rg:[ { 'req' : '"&amp;concatif2(A:A,Table2[[#This Row],[!Table]],G:G,"Y",D:D,"' }, { 'req': '")&amp;"'} ]","rg:[]")</f>
        <v>rg:[ { 'req' : 'id' }, { 'req': 'ministryDistrictID' }, { 'req': 'name'} ]</v>
      </c>
      <c r="Y282" s="9" t="str">
        <f>IF(LEN(Table2[[#This Row],[!Unique]])&gt;0,"rg:True","rg:None")</f>
        <v>rg:True</v>
      </c>
    </row>
    <row r="283" spans="1:25" x14ac:dyDescent="0.3">
      <c r="A283" s="3" t="s">
        <v>36</v>
      </c>
      <c r="B283" s="3" t="s">
        <v>13</v>
      </c>
      <c r="C283" s="3"/>
      <c r="D283" s="3" t="s">
        <v>37</v>
      </c>
      <c r="E283" s="42" t="s">
        <v>38</v>
      </c>
      <c r="F283" s="3" t="s">
        <v>5</v>
      </c>
      <c r="G283" s="71" t="s">
        <v>70</v>
      </c>
      <c r="H283" s="71"/>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integer</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ministryDistrictID</v>
      </c>
      <c r="V283" s="9" t="str">
        <f>IF(LEN(Table2[[#This Row],[!Description]]) &gt; 0, Table2[[#This Row],[!Description]], "rg:None")</f>
        <v>The Ministry ID for the District</v>
      </c>
      <c r="W283" s="9" t="str">
        <f>IF(LEN(Table2[[#This Row],[!FK]])&gt;0,Table2[[#This Row],[!FK]],"rg:None")</f>
        <v>rg:None</v>
      </c>
      <c r="X283" s="9" t="str">
        <f>IF(LEN(concatif2(A:A,Table2[[#This Row],[!Table]],G:G,"Y",D:D,",")) &gt; 0,"rg:[ { 'req' : '"&amp;concatif2(A:A,Table2[[#This Row],[!Table]],G:G,"Y",D:D,"' }, { 'req': '")&amp;"'} ]","rg:[]")</f>
        <v>rg:[ { 'req' : 'id' }, { 'req': 'ministryDistrictID' }, { 'req': 'name'} ]</v>
      </c>
      <c r="Y283" s="9" t="str">
        <f>IF(LEN(Table2[[#This Row],[!Unique]])&gt;0,"rg:True","rg:None")</f>
        <v>rg:None</v>
      </c>
    </row>
    <row r="284" spans="1:25" x14ac:dyDescent="0.3">
      <c r="A284" s="3" t="s">
        <v>36</v>
      </c>
      <c r="B284" s="3" t="s">
        <v>7</v>
      </c>
      <c r="C284" s="3">
        <v>255</v>
      </c>
      <c r="D284" s="3" t="s">
        <v>15</v>
      </c>
      <c r="E284" s="42" t="s">
        <v>39</v>
      </c>
      <c r="F284" s="3" t="s">
        <v>5</v>
      </c>
      <c r="G284" s="71" t="s">
        <v>70</v>
      </c>
      <c r="H284" s="71"/>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255</v>
      </c>
      <c r="U284" s="9" t="str">
        <f>IF(LEN(Table2[[#This Row],[!Name]]) &gt; 0, Table2[[#This Row],[!Name]], "rg:None")</f>
        <v>name</v>
      </c>
      <c r="V284" s="9" t="str">
        <f>IF(LEN(Table2[[#This Row],[!Description]]) &gt; 0, Table2[[#This Row],[!Description]], "rg:None")</f>
        <v>The name of the District</v>
      </c>
      <c r="W284" s="9" t="str">
        <f>IF(LEN(Table2[[#This Row],[!FK]])&gt;0,Table2[[#This Row],[!FK]],"rg:None")</f>
        <v>rg:None</v>
      </c>
      <c r="X284" s="9" t="str">
        <f>IF(LEN(concatif2(A:A,Table2[[#This Row],[!Table]],G:G,"Y",D:D,",")) &gt; 0,"rg:[ { 'req' : '"&amp;concatif2(A:A,Table2[[#This Row],[!Table]],G:G,"Y",D:D,"' }, { 'req': '")&amp;"'} ]","rg:[]")</f>
        <v>rg:[ { 'req' : 'id' }, { 'req': 'ministryDistrictID' }, { 'req': 'name'} ]</v>
      </c>
      <c r="Y284" s="9" t="str">
        <f>IF(LEN(Table2[[#This Row],[!Unique]])&gt;0,"rg:True","rg:None")</f>
        <v>rg:None</v>
      </c>
    </row>
    <row r="285" spans="1:25" x14ac:dyDescent="0.3">
      <c r="A285" s="3" t="s">
        <v>36</v>
      </c>
      <c r="B285" s="3" t="s">
        <v>8</v>
      </c>
      <c r="C285" s="3"/>
      <c r="D285" s="3" t="s">
        <v>40</v>
      </c>
      <c r="E285" s="42" t="s">
        <v>41</v>
      </c>
      <c r="F285" s="3" t="s">
        <v>30</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region</v>
      </c>
      <c r="V285" s="9" t="str">
        <f>IF(LEN(Table2[[#This Row],[!Description]]) &gt; 0, Table2[[#This Row],[!Description]], "rg:None")</f>
        <v>The region in which the District is found.</v>
      </c>
      <c r="W285" s="9" t="str">
        <f>IF(LEN(Table2[[#This Row],[!FK]])&gt;0,Table2[[#This Row],[!FK]],"rg:None")</f>
        <v>Region</v>
      </c>
      <c r="X285" s="9" t="str">
        <f>IF(LEN(concatif2(A:A,Table2[[#This Row],[!Table]],G:G,"Y",D:D,",")) &gt; 0,"rg:[ { 'req' : '"&amp;concatif2(A:A,Table2[[#This Row],[!Table]],G:G,"Y",D:D,"' }, { 'req': '")&amp;"'} ]","rg:[]")</f>
        <v>rg:[ { 'req' : 'id' }, { 'req': 'ministryDistrictID' }, { 'req': 'name'} ]</v>
      </c>
      <c r="Y285" s="9" t="str">
        <f>IF(LEN(Table2[[#This Row],[!Unique]])&gt;0,"rg:True","rg:None")</f>
        <v>rg:None</v>
      </c>
    </row>
    <row r="286" spans="1:25" x14ac:dyDescent="0.3">
      <c r="A286" s="3" t="s">
        <v>36</v>
      </c>
      <c r="B286" s="3" t="s">
        <v>12</v>
      </c>
      <c r="C286" s="3"/>
      <c r="D286" s="3" t="s">
        <v>34</v>
      </c>
      <c r="E286" s="63" t="s">
        <v>484</v>
      </c>
      <c r="F286" s="3" t="s">
        <v>5</v>
      </c>
      <c r="G286" s="4"/>
      <c r="H286" s="4"/>
      <c r="I286" s="5" t="str">
        <f t="shared" si="18"/>
        <v>Defs</v>
      </c>
      <c r="J286" t="str">
        <f>IF(Table2[[#This Row],[!Type]]=J$1, J$1,"rg:None")</f>
        <v>rg:None</v>
      </c>
      <c r="K286" t="str">
        <f>IF(Table2[[#This Row],[!Type]]=K$1, K$1,"rg:None")</f>
        <v>rg:None</v>
      </c>
      <c r="L286" t="str">
        <f>IF(Table2[[#This Row],[!Type]]=L$1, L$1,"rg:None")</f>
        <v>datetime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startDate</v>
      </c>
      <c r="V286" s="9" t="str">
        <f>IF(LEN(Table2[[#This Row],[!Description]]) &gt; 0, Table2[[#This Row],[!Description]], "rg:None")</f>
        <v>The effective date of the District record - NOT CURRENTLY ENFORCED IN SCHOOL BUS</v>
      </c>
      <c r="W286" s="9" t="str">
        <f>IF(LEN(Table2[[#This Row],[!FK]])&gt;0,Table2[[#This Row],[!FK]],"rg:None")</f>
        <v>rg:None</v>
      </c>
      <c r="X286" s="9" t="str">
        <f>IF(LEN(concatif2(A:A,Table2[[#This Row],[!Table]],G:G,"Y",D:D,",")) &gt; 0,"rg:[ { 'req' : '"&amp;concatif2(A:A,Table2[[#This Row],[!Table]],G:G,"Y",D:D,"' }, { 'req': '")&amp;"'} ]","rg:[]")</f>
        <v>rg:[ { 'req' : 'id' }, { 'req': 'ministryDistrictID' }, { 'req': 'name'} ]</v>
      </c>
      <c r="Y286" s="9" t="str">
        <f>IF(LEN(Table2[[#This Row],[!Unique]])&gt;0,"rg:True","rg:None")</f>
        <v>rg:None</v>
      </c>
    </row>
    <row r="287" spans="1:25" x14ac:dyDescent="0.3">
      <c r="A287" s="3" t="s">
        <v>36</v>
      </c>
      <c r="B287" s="3" t="s">
        <v>12</v>
      </c>
      <c r="C287" s="3"/>
      <c r="D287" s="3" t="s">
        <v>35</v>
      </c>
      <c r="E287" s="63" t="s">
        <v>485</v>
      </c>
      <c r="F287" s="3" t="s">
        <v>5</v>
      </c>
      <c r="G287" s="4"/>
      <c r="H287" s="4"/>
      <c r="I287" s="5" t="str">
        <f t="shared" si="18"/>
        <v>Defs</v>
      </c>
      <c r="J287" t="str">
        <f>IF(Table2[[#This Row],[!Type]]=J$1, J$1,"rg:None")</f>
        <v>rg:None</v>
      </c>
      <c r="K287" t="str">
        <f>IF(Table2[[#This Row],[!Type]]=K$1, K$1,"rg:None")</f>
        <v>rg:None</v>
      </c>
      <c r="L287" t="str">
        <f>IF(Table2[[#This Row],[!Type]]=L$1, L$1,"rg:None")</f>
        <v>datetime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endDate</v>
      </c>
      <c r="V287" s="9" t="str">
        <f>IF(LEN(Table2[[#This Row],[!Description]]) &gt; 0, Table2[[#This Row],[!Description]], "rg:None")</f>
        <v>The end date of the District record; null if active - NOT CURRENTLY ENFORCED IN SCHOOL BUS</v>
      </c>
      <c r="W287" s="9" t="str">
        <f>IF(LEN(Table2[[#This Row],[!FK]])&gt;0,Table2[[#This Row],[!FK]],"rg:None")</f>
        <v>rg:None</v>
      </c>
      <c r="X287" s="9" t="str">
        <f>IF(LEN(concatif2(A:A,Table2[[#This Row],[!Table]],G:G,"Y",D:D,",")) &gt; 0,"rg:[ { 'req' : '"&amp;concatif2(A:A,Table2[[#This Row],[!Table]],G:G,"Y",D:D,"' }, { 'req': '")&amp;"'} ]","rg:[]")</f>
        <v>rg:[ { 'req' : 'id' }, { 'req': 'ministryDistrictID' }, { 'req': 'name'} ]</v>
      </c>
      <c r="Y287" s="9" t="str">
        <f>IF(LEN(Table2[[#This Row],[!Unique]])&gt;0,"rg:True","rg:None")</f>
        <v>rg:None</v>
      </c>
    </row>
    <row r="288" spans="1:25" x14ac:dyDescent="0.3">
      <c r="A288" s="3" t="s">
        <v>10</v>
      </c>
      <c r="B288" s="3" t="s">
        <v>4</v>
      </c>
      <c r="C288" s="3"/>
      <c r="D288" s="3" t="s">
        <v>10</v>
      </c>
      <c r="E288" s="42" t="s">
        <v>486</v>
      </c>
      <c r="F288" s="3" t="s">
        <v>5</v>
      </c>
      <c r="G288" s="4"/>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9" t="str">
        <f>IF(LEN(Table2[[#This Row],[!Length]]) &gt; 0, Table2[[#This Row],[!Length]], "rg:None")</f>
        <v>rg:None</v>
      </c>
      <c r="U288" s="9" t="str">
        <f>IF(LEN(Table2[[#This Row],[!Name]]) &gt; 0, Table2[[#This Row],[!Name]], "rg:None")</f>
        <v>ServiceArea</v>
      </c>
      <c r="V288" s="9" t="str">
        <f>IF(LEN(Table2[[#This Row],[!Description]]) &gt; 0, Table2[[#This Row],[!Description]], "rg:None")</f>
        <v>The MOTI-defined Service Areas - must match the official MOTI List</v>
      </c>
      <c r="W288" s="9" t="str">
        <f>IF(LEN(Table2[[#This Row],[!FK]])&gt;0,Table2[[#This Row],[!FK]],"rg:None")</f>
        <v>rg:None</v>
      </c>
      <c r="X288" s="9" t="str">
        <f>IF(LEN(concatif2(A:A,Table2[[#This Row],[!Table]],G:G,"Y",D:D,",")) &gt; 0,"rg:[ { 'req' : '"&amp;concatif2(A:A,Table2[[#This Row],[!Table]],G:G,"Y",D:D,"' }, { 'req': '")&amp;"'} ]","rg:[]")</f>
        <v>rg:[ { 'req' : 'id' }, { 'req': 'ministryServiceAreaID' }, { 'req': 'name'} ]</v>
      </c>
      <c r="Y288" s="9" t="str">
        <f>IF(LEN(Table2[[#This Row],[!Unique]])&gt;0,"rg:True","rg:None")</f>
        <v>rg:None</v>
      </c>
    </row>
    <row r="289" spans="1:25" x14ac:dyDescent="0.3">
      <c r="A289" s="3" t="s">
        <v>10</v>
      </c>
      <c r="B289" s="3" t="s">
        <v>6</v>
      </c>
      <c r="C289" s="3"/>
      <c r="D289" s="3" t="s">
        <v>6</v>
      </c>
      <c r="E289" s="42" t="s">
        <v>487</v>
      </c>
      <c r="F289" s="3" t="s">
        <v>5</v>
      </c>
      <c r="G289" s="4" t="s">
        <v>70</v>
      </c>
      <c r="H289" s="71" t="s">
        <v>70</v>
      </c>
      <c r="I289" s="5" t="str">
        <f t="shared" si="18"/>
        <v>Defs</v>
      </c>
      <c r="J289" t="str">
        <f>IF(Table2[[#This Row],[!Type]]=J$1, J$1,"rg:None")</f>
        <v>rg:None</v>
      </c>
      <c r="K289" t="str">
        <f>IF(Table2[[#This Row],[!Type]]=K$1, K$1,"rg:None")</f>
        <v>rg:None</v>
      </c>
      <c r="L289" t="str">
        <f>IF(Table2[[#This Row],[!Type]]=L$1, L$1,"rg:None")</f>
        <v>rg:None</v>
      </c>
      <c r="M289" t="str">
        <f>IF(Table2[[#This Row],[!Type]]=M$1, M$1,"rg:None")</f>
        <v>id</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id</v>
      </c>
      <c r="V289" s="9" t="str">
        <f>IF(LEN(Table2[[#This Row],[!Description]]) &gt; 0, Table2[[#This Row],[!Description]], "rg:None")</f>
        <v>A system-generated unique identifier for a ServiceArea</v>
      </c>
      <c r="W289" s="9" t="str">
        <f>IF(LEN(Table2[[#This Row],[!FK]])&gt;0,Table2[[#This Row],[!FK]],"rg:None")</f>
        <v>rg:None</v>
      </c>
      <c r="X289" s="9" t="str">
        <f>IF(LEN(concatif2(A:A,Table2[[#This Row],[!Table]],G:G,"Y",D:D,",")) &gt; 0,"rg:[ { 'req' : '"&amp;concatif2(A:A,Table2[[#This Row],[!Table]],G:G,"Y",D:D,"' }, { 'req': '")&amp;"'} ]","rg:[]")</f>
        <v>rg:[ { 'req' : 'id' }, { 'req': 'ministryServiceAreaID' }, { 'req': 'name'} ]</v>
      </c>
      <c r="Y289" s="9" t="str">
        <f>IF(LEN(Table2[[#This Row],[!Unique]])&gt;0,"rg:True","rg:None")</f>
        <v>rg:True</v>
      </c>
    </row>
    <row r="290" spans="1:25" x14ac:dyDescent="0.3">
      <c r="A290" s="3" t="s">
        <v>10</v>
      </c>
      <c r="B290" s="3" t="s">
        <v>13</v>
      </c>
      <c r="C290" s="3"/>
      <c r="D290" s="3" t="s">
        <v>42</v>
      </c>
      <c r="E290" s="42" t="s">
        <v>43</v>
      </c>
      <c r="F290" s="3" t="s">
        <v>5</v>
      </c>
      <c r="G290" s="71" t="s">
        <v>70</v>
      </c>
      <c r="H290" s="71"/>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integer</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ministryServiceAreaID</v>
      </c>
      <c r="V290" s="9" t="str">
        <f>IF(LEN(Table2[[#This Row],[!Description]]) &gt; 0, Table2[[#This Row],[!Description]], "rg:None")</f>
        <v>The Ministry ID for the Service Area</v>
      </c>
      <c r="W290" s="9" t="str">
        <f>IF(LEN(Table2[[#This Row],[!FK]])&gt;0,Table2[[#This Row],[!FK]],"rg:None")</f>
        <v>rg:None</v>
      </c>
      <c r="X290" s="9" t="str">
        <f>IF(LEN(concatif2(A:A,Table2[[#This Row],[!Table]],G:G,"Y",D:D,",")) &gt; 0,"rg:[ { 'req' : '"&amp;concatif2(A:A,Table2[[#This Row],[!Table]],G:G,"Y",D:D,"' }, { 'req': '")&amp;"'} ]","rg:[]")</f>
        <v>rg:[ { 'req' : 'id' }, { 'req': 'ministryServiceAreaID' }, { 'req': 'name'} ]</v>
      </c>
      <c r="Y290" s="9" t="str">
        <f>IF(LEN(Table2[[#This Row],[!Unique]])&gt;0,"rg:True","rg:None")</f>
        <v>rg:None</v>
      </c>
    </row>
    <row r="291" spans="1:25" x14ac:dyDescent="0.3">
      <c r="A291" s="3" t="s">
        <v>10</v>
      </c>
      <c r="B291" s="3" t="s">
        <v>7</v>
      </c>
      <c r="C291" s="3">
        <v>255</v>
      </c>
      <c r="D291" s="3" t="s">
        <v>15</v>
      </c>
      <c r="E291" s="42" t="s">
        <v>44</v>
      </c>
      <c r="F291" s="3" t="s">
        <v>5</v>
      </c>
      <c r="G291" s="71" t="s">
        <v>70</v>
      </c>
      <c r="H291" s="71"/>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9">
        <f>IF(LEN(Table2[[#This Row],[!Length]]) &gt; 0, Table2[[#This Row],[!Length]], "rg:None")</f>
        <v>255</v>
      </c>
      <c r="U291" s="9" t="str">
        <f>IF(LEN(Table2[[#This Row],[!Name]]) &gt; 0, Table2[[#This Row],[!Name]], "rg:None")</f>
        <v>name</v>
      </c>
      <c r="V291" s="9" t="str">
        <f>IF(LEN(Table2[[#This Row],[!Description]]) &gt; 0, Table2[[#This Row],[!Description]], "rg:None")</f>
        <v>The name of the Service Area</v>
      </c>
      <c r="W291" s="9" t="str">
        <f>IF(LEN(Table2[[#This Row],[!FK]])&gt;0,Table2[[#This Row],[!FK]],"rg:None")</f>
        <v>rg:None</v>
      </c>
      <c r="X291" s="9" t="str">
        <f>IF(LEN(concatif2(A:A,Table2[[#This Row],[!Table]],G:G,"Y",D:D,",")) &gt; 0,"rg:[ { 'req' : '"&amp;concatif2(A:A,Table2[[#This Row],[!Table]],G:G,"Y",D:D,"' }, { 'req': '")&amp;"'} ]","rg:[]")</f>
        <v>rg:[ { 'req' : 'id' }, { 'req': 'ministryServiceAreaID' }, { 'req': 'name'} ]</v>
      </c>
      <c r="Y291" s="9" t="str">
        <f>IF(LEN(Table2[[#This Row],[!Unique]])&gt;0,"rg:True","rg:None")</f>
        <v>rg:None</v>
      </c>
    </row>
    <row r="292" spans="1:25" x14ac:dyDescent="0.3">
      <c r="A292" s="3" t="s">
        <v>10</v>
      </c>
      <c r="B292" s="3" t="s">
        <v>8</v>
      </c>
      <c r="C292" s="3"/>
      <c r="D292" s="3" t="s">
        <v>45</v>
      </c>
      <c r="E292" s="42" t="s">
        <v>46</v>
      </c>
      <c r="F292" s="3" t="s">
        <v>36</v>
      </c>
      <c r="G292" s="4"/>
      <c r="H292" s="4"/>
      <c r="I292" s="5" t="str">
        <f t="shared" si="18"/>
        <v>Defs</v>
      </c>
      <c r="J292" t="str">
        <f>IF(Table2[[#This Row],[!Type]]=J$1, J$1,"rg:None")</f>
        <v>rg:None</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district</v>
      </c>
      <c r="V292" s="9" t="str">
        <f>IF(LEN(Table2[[#This Row],[!Description]]) &gt; 0, Table2[[#This Row],[!Description]], "rg:None")</f>
        <v>The district in which the Service Area is found.</v>
      </c>
      <c r="W292" s="9" t="str">
        <f>IF(LEN(Table2[[#This Row],[!FK]])&gt;0,Table2[[#This Row],[!FK]],"rg:None")</f>
        <v>District</v>
      </c>
      <c r="X292" s="9" t="str">
        <f>IF(LEN(concatif2(A:A,Table2[[#This Row],[!Table]],G:G,"Y",D:D,",")) &gt; 0,"rg:[ { 'req' : '"&amp;concatif2(A:A,Table2[[#This Row],[!Table]],G:G,"Y",D:D,"' }, { 'req': '")&amp;"'} ]","rg:[]")</f>
        <v>rg:[ { 'req' : 'id' }, { 'req': 'ministryServiceAreaID' }, { 'req': 'name'} ]</v>
      </c>
      <c r="Y292" s="9" t="str">
        <f>IF(LEN(Table2[[#This Row],[!Unique]])&gt;0,"rg:True","rg:None")</f>
        <v>rg:None</v>
      </c>
    </row>
    <row r="293" spans="1:25" x14ac:dyDescent="0.3">
      <c r="A293" s="3" t="s">
        <v>10</v>
      </c>
      <c r="B293" s="3" t="s">
        <v>12</v>
      </c>
      <c r="C293" s="3"/>
      <c r="D293" s="3" t="s">
        <v>34</v>
      </c>
      <c r="E293" s="63" t="s">
        <v>488</v>
      </c>
      <c r="F293" s="3" t="s">
        <v>5</v>
      </c>
      <c r="G293" s="4"/>
      <c r="H293" s="4"/>
      <c r="I293" s="5" t="str">
        <f t="shared" si="18"/>
        <v>Defs</v>
      </c>
      <c r="J293" t="str">
        <f>IF(Table2[[#This Row],[!Type]]=J$1, J$1,"rg:None")</f>
        <v>rg:None</v>
      </c>
      <c r="K293" t="str">
        <f>IF(Table2[[#This Row],[!Type]]=K$1, K$1,"rg:None")</f>
        <v>rg:None</v>
      </c>
      <c r="L293" t="str">
        <f>IF(Table2[[#This Row],[!Type]]=L$1, L$1,"rg:None")</f>
        <v>datetime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startDate</v>
      </c>
      <c r="V293" s="9" t="str">
        <f>IF(LEN(Table2[[#This Row],[!Description]]) &gt; 0, Table2[[#This Row],[!Description]], "rg:None")</f>
        <v>The effective date of the Service Area record - NOT CURRENTLY ENFORCED IN SCHOOL BUS</v>
      </c>
      <c r="W293" s="9" t="str">
        <f>IF(LEN(Table2[[#This Row],[!FK]])&gt;0,Table2[[#This Row],[!FK]],"rg:None")</f>
        <v>rg:None</v>
      </c>
      <c r="X293" s="9" t="str">
        <f>IF(LEN(concatif2(A:A,Table2[[#This Row],[!Table]],G:G,"Y",D:D,",")) &gt; 0,"rg:[ { 'req' : '"&amp;concatif2(A:A,Table2[[#This Row],[!Table]],G:G,"Y",D:D,"' }, { 'req': '")&amp;"'} ]","rg:[]")</f>
        <v>rg:[ { 'req' : 'id' }, { 'req': 'ministryServiceAreaID' }, { 'req': 'name'} ]</v>
      </c>
      <c r="Y293" s="9" t="str">
        <f>IF(LEN(Table2[[#This Row],[!Unique]])&gt;0,"rg:True","rg:None")</f>
        <v>rg:None</v>
      </c>
    </row>
    <row r="294" spans="1:25" x14ac:dyDescent="0.3">
      <c r="A294" s="3" t="s">
        <v>10</v>
      </c>
      <c r="B294" s="3" t="s">
        <v>12</v>
      </c>
      <c r="C294" s="3"/>
      <c r="D294" s="3" t="s">
        <v>35</v>
      </c>
      <c r="E294" s="63" t="s">
        <v>489</v>
      </c>
      <c r="F294" s="3" t="s">
        <v>5</v>
      </c>
      <c r="G294" s="4"/>
      <c r="H294" s="4"/>
      <c r="I294" s="5" t="str">
        <f t="shared" si="18"/>
        <v>Defs</v>
      </c>
      <c r="J294" t="str">
        <f>IF(Table2[[#This Row],[!Type]]=J$1, J$1,"rg:None")</f>
        <v>rg:None</v>
      </c>
      <c r="K294" t="str">
        <f>IF(Table2[[#This Row],[!Type]]=K$1, K$1,"rg:None")</f>
        <v>rg:None</v>
      </c>
      <c r="L294" t="str">
        <f>IF(Table2[[#This Row],[!Type]]=L$1, L$1,"rg:None")</f>
        <v>datetime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endDate</v>
      </c>
      <c r="V294" s="9" t="str">
        <f>IF(LEN(Table2[[#This Row],[!Description]]) &gt; 0, Table2[[#This Row],[!Description]], "rg:None")</f>
        <v>The end date of the Service Area record; null if active - NOT CURRENTLY ENFORCED IN SCHOOL BUS</v>
      </c>
      <c r="W294" s="9" t="str">
        <f>IF(LEN(Table2[[#This Row],[!FK]])&gt;0,Table2[[#This Row],[!FK]],"rg:None")</f>
        <v>rg:None</v>
      </c>
      <c r="X294" s="9" t="str">
        <f>IF(LEN(concatif2(A:A,Table2[[#This Row],[!Table]],G:G,"Y",D:D,",")) &gt; 0,"rg:[ { 'req' : '"&amp;concatif2(A:A,Table2[[#This Row],[!Table]],G:G,"Y",D:D,"' }, { 'req': '")&amp;"'} ]","rg:[]")</f>
        <v>rg:[ { 'req' : 'id' }, { 'req': 'ministryServiceAreaID' }, { 'req': 'name'} ]</v>
      </c>
      <c r="Y294" s="9" t="str">
        <f>IF(LEN(Table2[[#This Row],[!Unique]])&gt;0,"rg:True","rg:None")</f>
        <v>rg:None</v>
      </c>
    </row>
    <row r="295" spans="1:25" x14ac:dyDescent="0.3">
      <c r="A295" s="3" t="s">
        <v>11</v>
      </c>
      <c r="B295" s="3" t="s">
        <v>4</v>
      </c>
      <c r="C295" s="3"/>
      <c r="D295" s="3" t="s">
        <v>11</v>
      </c>
      <c r="E295" s="42" t="s">
        <v>73</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City</v>
      </c>
      <c r="V295" s="9" t="str">
        <f>IF(LEN(Table2[[#This Row],[!Description]]) &gt; 0, Table2[[#This Row],[!Description]], "rg:None")</f>
        <v>A list of cities in BC. Authoritative source to be determined.</v>
      </c>
      <c r="W295" s="9" t="str">
        <f>IF(LEN(Table2[[#This Row],[!FK]])&gt;0,Table2[[#This Row],[!FK]],"rg:None")</f>
        <v>rg:None</v>
      </c>
      <c r="X295" s="9" t="str">
        <f>IF(LEN(concatif2(A:A,Table2[[#This Row],[!Table]],G:G,"Y",D:D,",")) &gt; 0,"rg:[ { 'req' : '"&amp;concatif2(A:A,Table2[[#This Row],[!Table]],G:G,"Y",D:D,"' }, { 'req': '")&amp;"'} ]","rg:[]")</f>
        <v>rg:[ { 'req' : 'id'} ]</v>
      </c>
      <c r="Y295" s="9" t="str">
        <f>IF(LEN(Table2[[#This Row],[!Unique]])&gt;0,"rg:True","rg:None")</f>
        <v>rg:None</v>
      </c>
    </row>
    <row r="296" spans="1:25" x14ac:dyDescent="0.3">
      <c r="A296" s="3" t="s">
        <v>11</v>
      </c>
      <c r="B296" s="3" t="s">
        <v>6</v>
      </c>
      <c r="C296" s="3"/>
      <c r="D296" s="3" t="s">
        <v>6</v>
      </c>
      <c r="E296" s="42" t="s">
        <v>490</v>
      </c>
      <c r="F296" s="3" t="s">
        <v>5</v>
      </c>
      <c r="G296" s="4" t="s">
        <v>70</v>
      </c>
      <c r="H296" s="71" t="s">
        <v>70</v>
      </c>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City</v>
      </c>
      <c r="W296" s="9" t="str">
        <f>IF(LEN(Table2[[#This Row],[!FK]])&gt;0,Table2[[#This Row],[!FK]],"rg:None")</f>
        <v>rg:None</v>
      </c>
      <c r="X296" s="9" t="str">
        <f>IF(LEN(concatif2(A:A,Table2[[#This Row],[!Table]],G:G,"Y",D:D,",")) &gt; 0,"rg:[ { 'req' : '"&amp;concatif2(A:A,Table2[[#This Row],[!Table]],G:G,"Y",D:D,"' }, { 'req': '")&amp;"'} ]","rg:[]")</f>
        <v>rg:[ { 'req' : 'id'} ]</v>
      </c>
      <c r="Y296" s="9" t="str">
        <f>IF(LEN(Table2[[#This Row],[!Unique]])&gt;0,"rg:True","rg:None")</f>
        <v>rg:True</v>
      </c>
    </row>
    <row r="297" spans="1:25" x14ac:dyDescent="0.3">
      <c r="A297" s="3" t="s">
        <v>11</v>
      </c>
      <c r="B297" s="3" t="s">
        <v>7</v>
      </c>
      <c r="C297" s="3">
        <v>255</v>
      </c>
      <c r="D297" s="3" t="s">
        <v>15</v>
      </c>
      <c r="E297" s="42" t="s">
        <v>47</v>
      </c>
      <c r="F297" s="3" t="s">
        <v>5</v>
      </c>
      <c r="G297" s="4"/>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255</v>
      </c>
      <c r="U297" s="9" t="str">
        <f>IF(LEN(Table2[[#This Row],[!Name]]) &gt; 0, Table2[[#This Row],[!Name]], "rg:None")</f>
        <v>name</v>
      </c>
      <c r="V297" s="9" t="str">
        <f>IF(LEN(Table2[[#This Row],[!Description]]) &gt; 0, Table2[[#This Row],[!Description]], "rg:None")</f>
        <v>The name of the City</v>
      </c>
      <c r="W297" s="9" t="str">
        <f>IF(LEN(Table2[[#This Row],[!FK]])&gt;0,Table2[[#This Row],[!FK]],"rg:None")</f>
        <v>rg:None</v>
      </c>
      <c r="X297" s="9" t="str">
        <f>IF(LEN(concatif2(A:A,Table2[[#This Row],[!Table]],G:G,"Y",D:D,",")) &gt; 0,"rg:[ { 'req' : '"&amp;concatif2(A:A,Table2[[#This Row],[!Table]],G:G,"Y",D:D,"' }, { 'req': '")&amp;"'} ]","rg:[]")</f>
        <v>rg:[ { 'req' : 'id'} ]</v>
      </c>
      <c r="Y297" s="9" t="str">
        <f>IF(LEN(Table2[[#This Row],[!Unique]])&gt;0,"rg:True","rg:None")</f>
        <v>rg:None</v>
      </c>
    </row>
    <row r="298" spans="1:25" x14ac:dyDescent="0.3">
      <c r="A298" s="3" t="s">
        <v>0</v>
      </c>
      <c r="B298" s="3" t="s">
        <v>4</v>
      </c>
      <c r="C298" s="3"/>
      <c r="D298" s="3" t="s">
        <v>0</v>
      </c>
      <c r="E298" s="42" t="s">
        <v>74</v>
      </c>
      <c r="F298" s="3" t="s">
        <v>5</v>
      </c>
      <c r="G298" s="4"/>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table</v>
      </c>
      <c r="T298" s="9" t="str">
        <f>IF(LEN(Table2[[#This Row],[!Length]]) &gt; 0, Table2[[#This Row],[!Length]], "rg:None")</f>
        <v>rg:None</v>
      </c>
      <c r="U298" s="9" t="str">
        <f>IF(LEN(Table2[[#This Row],[!Name]]) &gt; 0, Table2[[#This Row],[!Name]], "rg:None")</f>
        <v>User</v>
      </c>
      <c r="V298" s="9" t="str">
        <f>IF(LEN(Table2[[#This Row],[!Description]]) &gt; 0, Table2[[#This Row],[!Description]], "rg:None")</f>
        <v>Information about the users of the system.</v>
      </c>
      <c r="W298" s="9" t="str">
        <f>IF(LEN(Table2[[#This Row],[!FK]])&gt;0,Table2[[#This Row],[!FK]],"rg:None")</f>
        <v>rg:None</v>
      </c>
      <c r="X298" s="9" t="str">
        <f>IF(LEN(concatif2(A:A,Table2[[#This Row],[!Table]],G:G,"Y",D:D,",")) &gt; 0,"rg:[ { 'req' : '"&amp;concatif2(A:A,Table2[[#This Row],[!Table]],G:G,"Y",D:D,"' }, { 'req': '")&amp;"'} ]","rg:[]")</f>
        <v>rg:[ { 'req' : 'id' }, { 'req': 'givenName' }, { 'req': 'surname' }, { 'req': 'active'} ]</v>
      </c>
      <c r="Y298" s="9" t="str">
        <f>IF(LEN(Table2[[#This Row],[!Unique]])&gt;0,"rg:True","rg:None")</f>
        <v>rg:None</v>
      </c>
    </row>
    <row r="299" spans="1:25" x14ac:dyDescent="0.3">
      <c r="A299" s="3" t="s">
        <v>0</v>
      </c>
      <c r="B299" s="3" t="s">
        <v>6</v>
      </c>
      <c r="C299" s="3"/>
      <c r="D299" s="3" t="s">
        <v>6</v>
      </c>
      <c r="E299" s="42" t="s">
        <v>491</v>
      </c>
      <c r="F299" s="3" t="s">
        <v>5</v>
      </c>
      <c r="G299" s="4" t="s">
        <v>70</v>
      </c>
      <c r="H299" s="71" t="s">
        <v>70</v>
      </c>
      <c r="I299" s="5" t="str">
        <f t="shared" si="18"/>
        <v>Defs</v>
      </c>
      <c r="J299" t="str">
        <f>IF(Table2[[#This Row],[!Type]]=J$1, J$1,"rg:None")</f>
        <v>rg:None</v>
      </c>
      <c r="K299" t="str">
        <f>IF(Table2[[#This Row],[!Type]]=K$1, K$1,"rg:None")</f>
        <v>rg:None</v>
      </c>
      <c r="L299" t="str">
        <f>IF(Table2[[#This Row],[!Type]]=L$1, L$1,"rg:None")</f>
        <v>rg:None</v>
      </c>
      <c r="M299" t="str">
        <f>IF(Table2[[#This Row],[!Type]]=M$1, M$1,"rg:None")</f>
        <v>id</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id</v>
      </c>
      <c r="V299" s="9" t="str">
        <f>IF(LEN(Table2[[#This Row],[!Description]]) &gt; 0, Table2[[#This Row],[!Description]], "rg:None")</f>
        <v>A system-generated unique identifier for a User</v>
      </c>
      <c r="W299" s="9" t="str">
        <f>IF(LEN(Table2[[#This Row],[!FK]])&gt;0,Table2[[#This Row],[!FK]],"rg:None")</f>
        <v>rg:None</v>
      </c>
      <c r="X299" s="9" t="str">
        <f>IF(LEN(concatif2(A:A,Table2[[#This Row],[!Table]],G:G,"Y",D:D,",")) &gt; 0,"rg:[ { 'req' : '"&amp;concatif2(A:A,Table2[[#This Row],[!Table]],G:G,"Y",D:D,"' }, { 'req': '")&amp;"'} ]","rg:[]")</f>
        <v>rg:[ { 'req' : 'id' }, { 'req': 'givenName' }, { 'req': 'surname' }, { 'req': 'active'} ]</v>
      </c>
      <c r="Y299" s="9" t="str">
        <f>IF(LEN(Table2[[#This Row],[!Unique]])&gt;0,"rg:True","rg:None")</f>
        <v>rg:True</v>
      </c>
    </row>
    <row r="300" spans="1:25" x14ac:dyDescent="0.3">
      <c r="A300" s="3" t="s">
        <v>0</v>
      </c>
      <c r="B300" s="3" t="s">
        <v>7</v>
      </c>
      <c r="C300" s="3">
        <v>255</v>
      </c>
      <c r="D300" s="3" t="s">
        <v>16</v>
      </c>
      <c r="E300" s="42" t="s">
        <v>492</v>
      </c>
      <c r="F300" s="3" t="s">
        <v>5</v>
      </c>
      <c r="G300" s="71" t="s">
        <v>70</v>
      </c>
      <c r="H300" s="71"/>
      <c r="I300" s="5" t="str">
        <f t="shared" si="18"/>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9">
        <f>IF(LEN(Table2[[#This Row],[!Length]]) &gt; 0, Table2[[#This Row],[!Length]], "rg:None")</f>
        <v>255</v>
      </c>
      <c r="U300" s="9" t="str">
        <f>IF(LEN(Table2[[#This Row],[!Name]]) &gt; 0, Table2[[#This Row],[!Name]], "rg:None")</f>
        <v>givenName</v>
      </c>
      <c r="V300" s="9" t="str">
        <f>IF(LEN(Table2[[#This Row],[!Description]]) &gt; 0, Table2[[#This Row],[!Description]], "rg:None")</f>
        <v>Given name of the user.</v>
      </c>
      <c r="W300" s="9" t="str">
        <f>IF(LEN(Table2[[#This Row],[!FK]])&gt;0,Table2[[#This Row],[!FK]],"rg:None")</f>
        <v>rg:None</v>
      </c>
      <c r="X300" s="9" t="str">
        <f>IF(LEN(concatif2(A:A,Table2[[#This Row],[!Table]],G:G,"Y",D:D,",")) &gt; 0,"rg:[ { 'req' : '"&amp;concatif2(A:A,Table2[[#This Row],[!Table]],G:G,"Y",D:D,"' }, { 'req': '")&amp;"'} ]","rg:[]")</f>
        <v>rg:[ { 'req' : 'id' }, { 'req': 'givenName' }, { 'req': 'surname' }, { 'req': 'active'} ]</v>
      </c>
      <c r="Y300" s="9" t="str">
        <f>IF(LEN(Table2[[#This Row],[!Unique]])&gt;0,"rg:True","rg:None")</f>
        <v>rg:None</v>
      </c>
    </row>
    <row r="301" spans="1:25" x14ac:dyDescent="0.3">
      <c r="A301" s="3" t="s">
        <v>0</v>
      </c>
      <c r="B301" s="3" t="s">
        <v>7</v>
      </c>
      <c r="C301" s="3">
        <v>50</v>
      </c>
      <c r="D301" s="3" t="s">
        <v>17</v>
      </c>
      <c r="E301" s="42" t="s">
        <v>493</v>
      </c>
      <c r="F301" s="3" t="s">
        <v>5</v>
      </c>
      <c r="G301" s="71" t="s">
        <v>70</v>
      </c>
      <c r="H301" s="71"/>
      <c r="I301" s="5" t="str">
        <f t="shared" ref="I301:I338" si="19">IF(LEN(A301) &gt; 0,"Defs","-")</f>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9">
        <f>IF(LEN(Table2[[#This Row],[!Length]]) &gt; 0, Table2[[#This Row],[!Length]], "rg:None")</f>
        <v>50</v>
      </c>
      <c r="U301" s="9" t="str">
        <f>IF(LEN(Table2[[#This Row],[!Name]]) &gt; 0, Table2[[#This Row],[!Name]], "rg:None")</f>
        <v>surname</v>
      </c>
      <c r="V301" s="9" t="str">
        <f>IF(LEN(Table2[[#This Row],[!Description]]) &gt; 0, Table2[[#This Row],[!Description]], "rg:None")</f>
        <v>Surname of the user.</v>
      </c>
      <c r="W301" s="9" t="str">
        <f>IF(LEN(Table2[[#This Row],[!FK]])&gt;0,Table2[[#This Row],[!FK]],"rg:None")</f>
        <v>rg:None</v>
      </c>
      <c r="X301" s="9" t="str">
        <f>IF(LEN(concatif2(A:A,Table2[[#This Row],[!Table]],G:G,"Y",D:D,",")) &gt; 0,"rg:[ { 'req' : '"&amp;concatif2(A:A,Table2[[#This Row],[!Table]],G:G,"Y",D:D,"' }, { 'req': '")&amp;"'} ]","rg:[]")</f>
        <v>rg:[ { 'req' : 'id' }, { 'req': 'givenName' }, { 'req': 'surname' }, { 'req': 'active'} ]</v>
      </c>
      <c r="Y301" s="9" t="str">
        <f>IF(LEN(Table2[[#This Row],[!Unique]])&gt;0,"rg:True","rg:None")</f>
        <v>rg:None</v>
      </c>
    </row>
    <row r="302" spans="1:25" x14ac:dyDescent="0.3">
      <c r="A302" s="3" t="s">
        <v>0</v>
      </c>
      <c r="B302" s="3" t="s">
        <v>7</v>
      </c>
      <c r="C302" s="3">
        <v>10</v>
      </c>
      <c r="D302" s="3" t="s">
        <v>50</v>
      </c>
      <c r="E302" s="42" t="s">
        <v>494</v>
      </c>
      <c r="F302" s="3" t="s">
        <v>5</v>
      </c>
      <c r="G302" s="4"/>
      <c r="H302" s="4"/>
      <c r="I302" s="5" t="str">
        <f t="shared" si="19"/>
        <v>Defs</v>
      </c>
      <c r="J302" t="str">
        <f>IF(Table2[[#This Row],[!Type]]=J$1, J$1,"rg:None")</f>
        <v>rg:None</v>
      </c>
      <c r="K302" t="str">
        <f>IF(Table2[[#This Row],[!Type]]=K$1, K$1,"rg:None")</f>
        <v>rg:None</v>
      </c>
      <c r="L302" t="str">
        <f>IF(Table2[[#This Row],[!Type]]=L$1, L$1,"rg:None")</f>
        <v>rg:None</v>
      </c>
      <c r="M302" t="str">
        <f>IF(Table2[[#This Row],[!Type]]=M$1, M$1,"rg:None")</f>
        <v>rg:None</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9">
        <f>IF(LEN(Table2[[#This Row],[!Length]]) &gt; 0, Table2[[#This Row],[!Length]], "rg:None")</f>
        <v>10</v>
      </c>
      <c r="U302" s="9" t="str">
        <f>IF(LEN(Table2[[#This Row],[!Name]]) &gt; 0, Table2[[#This Row],[!Name]], "rg:None")</f>
        <v>initials</v>
      </c>
      <c r="V302" s="9" t="str">
        <f>IF(LEN(Table2[[#This Row],[!Description]]) &gt; 0, Table2[[#This Row],[!Description]], "rg:None")</f>
        <v>Initials of the user, to be presented where screen space is at a premium.</v>
      </c>
      <c r="W302" s="9" t="str">
        <f>IF(LEN(Table2[[#This Row],[!FK]])&gt;0,Table2[[#This Row],[!FK]],"rg:None")</f>
        <v>rg:None</v>
      </c>
      <c r="X302" s="9" t="str">
        <f>IF(LEN(concatif2(A:A,Table2[[#This Row],[!Table]],G:G,"Y",D:D,",")) &gt; 0,"rg:[ { 'req' : '"&amp;concatif2(A:A,Table2[[#This Row],[!Table]],G:G,"Y",D:D,"' }, { 'req': '")&amp;"'} ]","rg:[]")</f>
        <v>rg:[ { 'req' : 'id' }, { 'req': 'givenName' }, { 'req': 'surname' }, { 'req': 'active'} ]</v>
      </c>
      <c r="Y302" s="9" t="str">
        <f>IF(LEN(Table2[[#This Row],[!Unique]])&gt;0,"rg:True","rg:None")</f>
        <v>rg:None</v>
      </c>
    </row>
    <row r="303" spans="1:25" x14ac:dyDescent="0.3">
      <c r="A303" s="3" t="s">
        <v>0</v>
      </c>
      <c r="B303" s="3" t="s">
        <v>7</v>
      </c>
      <c r="C303" s="3">
        <v>255</v>
      </c>
      <c r="D303" s="3" t="s">
        <v>51</v>
      </c>
      <c r="E303" s="42" t="s">
        <v>495</v>
      </c>
      <c r="F303" s="3" t="s">
        <v>5</v>
      </c>
      <c r="G303" s="4"/>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255</v>
      </c>
      <c r="U303" s="9" t="str">
        <f>IF(LEN(Table2[[#This Row],[!Name]]) &gt; 0, Table2[[#This Row],[!Name]], "rg:None")</f>
        <v>email</v>
      </c>
      <c r="V303" s="9" t="str">
        <f>IF(LEN(Table2[[#This Row],[!Description]]) &gt; 0, Table2[[#This Row],[!Description]], "rg:None")</f>
        <v>The email address of the user in the system.</v>
      </c>
      <c r="W303" s="9" t="str">
        <f>IF(LEN(Table2[[#This Row],[!FK]])&gt;0,Table2[[#This Row],[!FK]],"rg:None")</f>
        <v>rg:None</v>
      </c>
      <c r="X303" s="9" t="str">
        <f>IF(LEN(concatif2(A:A,Table2[[#This Row],[!Table]],G:G,"Y",D:D,",")) &gt; 0,"rg:[ { 'req' : '"&amp;concatif2(A:A,Table2[[#This Row],[!Table]],G:G,"Y",D:D,"' }, { 'req': '")&amp;"'} ]","rg:[]")</f>
        <v>rg:[ { 'req' : 'id' }, { 'req': 'givenName' }, { 'req': 'surname' }, { 'req': 'active'} ]</v>
      </c>
      <c r="Y303" s="9" t="str">
        <f>IF(LEN(Table2[[#This Row],[!Unique]])&gt;0,"rg:True","rg:None")</f>
        <v>rg:None</v>
      </c>
    </row>
    <row r="304" spans="1:25" x14ac:dyDescent="0.3">
      <c r="A304" s="3" t="s">
        <v>0</v>
      </c>
      <c r="B304" s="3" t="s">
        <v>9</v>
      </c>
      <c r="C304" s="3"/>
      <c r="D304" s="3" t="s">
        <v>49</v>
      </c>
      <c r="E304" s="42" t="s">
        <v>496</v>
      </c>
      <c r="F304" s="3" t="s">
        <v>5</v>
      </c>
      <c r="G304" s="4" t="s">
        <v>70</v>
      </c>
      <c r="H304" s="4"/>
      <c r="I304" s="5" t="str">
        <f t="shared" si="19"/>
        <v>Defs</v>
      </c>
      <c r="J304" t="str">
        <f>IF(Table2[[#This Row],[!Type]]=J$1, J$1,"rg:None")</f>
        <v>boolean</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9" t="str">
        <f>IF(LEN(Table2[[#This Row],[!Length]]) &gt; 0, Table2[[#This Row],[!Length]], "rg:None")</f>
        <v>rg:None</v>
      </c>
      <c r="U304" s="9" t="str">
        <f>IF(LEN(Table2[[#This Row],[!Name]]) &gt; 0, Table2[[#This Row],[!Name]], "rg:None")</f>
        <v>active</v>
      </c>
      <c r="V304" s="9" t="str">
        <f>IF(LEN(Table2[[#This Row],[!Description]]) &gt; 0, Table2[[#This Row],[!Description]], "rg:None")</f>
        <v>A flag indicating the User is active in the system. Set false to remove access to the system for the user.</v>
      </c>
      <c r="W304" s="9" t="str">
        <f>IF(LEN(Table2[[#This Row],[!FK]])&gt;0,Table2[[#This Row],[!FK]],"rg:None")</f>
        <v>rg:None</v>
      </c>
      <c r="X304" s="9" t="str">
        <f>IF(LEN(concatif2(A:A,Table2[[#This Row],[!Table]],G:G,"Y",D:D,",")) &gt; 0,"rg:[ { 'req' : '"&amp;concatif2(A:A,Table2[[#This Row],[!Table]],G:G,"Y",D:D,"' }, { 'req': '")&amp;"'} ]","rg:[]")</f>
        <v>rg:[ { 'req' : 'id' }, { 'req': 'givenName' }, { 'req': 'surname' }, { 'req': 'active'} ]</v>
      </c>
      <c r="Y304" s="9" t="str">
        <f>IF(LEN(Table2[[#This Row],[!Unique]])&gt;0,"rg:True","rg:None")</f>
        <v>rg:None</v>
      </c>
    </row>
    <row r="305" spans="1:25" x14ac:dyDescent="0.3">
      <c r="A305" s="3" t="s">
        <v>0</v>
      </c>
      <c r="B305" s="3" t="s">
        <v>7</v>
      </c>
      <c r="C305" s="3">
        <v>255</v>
      </c>
      <c r="D305" s="3" t="s">
        <v>52</v>
      </c>
      <c r="E305" s="42" t="s">
        <v>53</v>
      </c>
      <c r="F305" s="3" t="s">
        <v>5</v>
      </c>
      <c r="G305" s="4"/>
      <c r="H305" s="4"/>
      <c r="I305" s="5" t="str">
        <f t="shared" si="19"/>
        <v>Defs</v>
      </c>
      <c r="J305" t="str">
        <f>IF(Table2[[#This Row],[!Type]]=J$1, J$1,"rg:None")</f>
        <v>rg:None</v>
      </c>
      <c r="K305" t="str">
        <f>IF(Table2[[#This Row],[!Type]]=K$1, K$1,"rg:None")</f>
        <v>rg:None</v>
      </c>
      <c r="L305" t="str">
        <f>IF(Table2[[#This Row],[!Type]]=L$1, L$1,"rg:None")</f>
        <v>rg:None</v>
      </c>
      <c r="M305" t="str">
        <f>IF(Table2[[#This Row],[!Type]]=M$1, M$1,"rg:None")</f>
        <v>rg:None</v>
      </c>
      <c r="N305" s="9" t="str">
        <f>IF(Table2[[#This Row],[!Type]]=N$1, N$1,"rg:None")</f>
        <v>rg:None</v>
      </c>
      <c r="O305" s="9"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9">
        <f>IF(LEN(Table2[[#This Row],[!Length]]) &gt; 0, Table2[[#This Row],[!Length]], "rg:None")</f>
        <v>255</v>
      </c>
      <c r="U305" s="9" t="str">
        <f>IF(LEN(Table2[[#This Row],[!Name]]) &gt; 0, Table2[[#This Row],[!Name]], "rg:None")</f>
        <v>smUserId</v>
      </c>
      <c r="V305" s="9" t="str">
        <f>IF(LEN(Table2[[#This Row],[!Description]]) &gt; 0, Table2[[#This Row],[!Description]], "rg:None")</f>
        <v>Security Manager User ID</v>
      </c>
      <c r="W305" s="9" t="str">
        <f>IF(LEN(Table2[[#This Row],[!FK]])&gt;0,Table2[[#This Row],[!FK]],"rg:None")</f>
        <v>rg:None</v>
      </c>
      <c r="X305" s="9" t="str">
        <f>IF(LEN(concatif2(A:A,Table2[[#This Row],[!Table]],G:G,"Y",D:D,",")) &gt; 0,"rg:[ { 'req' : '"&amp;concatif2(A:A,Table2[[#This Row],[!Table]],G:G,"Y",D:D,"' }, { 'req': '")&amp;"'} ]","rg:[]")</f>
        <v>rg:[ { 'req' : 'id' }, { 'req': 'givenName' }, { 'req': 'surname' }, { 'req': 'active'} ]</v>
      </c>
      <c r="Y305" s="9" t="str">
        <f>IF(LEN(Table2[[#This Row],[!Unique]])&gt;0,"rg:True","rg:None")</f>
        <v>rg:None</v>
      </c>
    </row>
    <row r="306" spans="1:25" x14ac:dyDescent="0.3">
      <c r="A306" s="3" t="s">
        <v>0</v>
      </c>
      <c r="B306" s="3" t="s">
        <v>7</v>
      </c>
      <c r="C306" s="3">
        <v>255</v>
      </c>
      <c r="D306" s="3" t="s">
        <v>54</v>
      </c>
      <c r="E306" s="42" t="s">
        <v>497</v>
      </c>
      <c r="F306" s="3" t="s">
        <v>5</v>
      </c>
      <c r="G306" s="4"/>
      <c r="H306" s="4"/>
      <c r="I306" s="5" t="str">
        <f t="shared" si="19"/>
        <v>Defs</v>
      </c>
      <c r="J306" t="str">
        <f>IF(Table2[[#This Row],[!Type]]=J$1, J$1,"rg:None")</f>
        <v>rg:None</v>
      </c>
      <c r="K306" t="str">
        <f>IF(Table2[[#This Row],[!Type]]=K$1, K$1,"rg:None")</f>
        <v>rg:None</v>
      </c>
      <c r="L306" t="str">
        <f>IF(Table2[[#This Row],[!Type]]=L$1, L$1,"rg:None")</f>
        <v>rg:None</v>
      </c>
      <c r="M306" t="str">
        <f>IF(Table2[[#This Row],[!Type]]=M$1, M$1,"rg:None")</f>
        <v>rg:None</v>
      </c>
      <c r="N306" s="9" t="str">
        <f>IF(Table2[[#This Row],[!Type]]=N$1, N$1,"rg:None")</f>
        <v>rg:None</v>
      </c>
      <c r="O306" s="9"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9">
        <f>IF(LEN(Table2[[#This Row],[!Length]]) &gt; 0, Table2[[#This Row],[!Length]], "rg:None")</f>
        <v>255</v>
      </c>
      <c r="U306" s="9" t="str">
        <f>IF(LEN(Table2[[#This Row],[!Name]]) &gt; 0, Table2[[#This Row],[!Name]], "rg:None")</f>
        <v>guid</v>
      </c>
      <c r="V30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6" s="9" t="str">
        <f>IF(LEN(Table2[[#This Row],[!FK]])&gt;0,Table2[[#This Row],[!FK]],"rg:None")</f>
        <v>rg:None</v>
      </c>
      <c r="X306" s="9" t="str">
        <f>IF(LEN(concatif2(A:A,Table2[[#This Row],[!Table]],G:G,"Y",D:D,",")) &gt; 0,"rg:[ { 'req' : '"&amp;concatif2(A:A,Table2[[#This Row],[!Table]],G:G,"Y",D:D,"' }, { 'req': '")&amp;"'} ]","rg:[]")</f>
        <v>rg:[ { 'req' : 'id' }, { 'req': 'givenName' }, { 'req': 'surname' }, { 'req': 'active'} ]</v>
      </c>
      <c r="Y306" s="9" t="str">
        <f>IF(LEN(Table2[[#This Row],[!Unique]])&gt;0,"rg:True","rg:None")</f>
        <v>rg:None</v>
      </c>
    </row>
    <row r="307" spans="1:25" x14ac:dyDescent="0.3">
      <c r="A307" s="3" t="s">
        <v>0</v>
      </c>
      <c r="B307" s="3" t="s">
        <v>7</v>
      </c>
      <c r="C307" s="3">
        <v>255</v>
      </c>
      <c r="D307" s="3" t="s">
        <v>55</v>
      </c>
      <c r="E307" s="42" t="s">
        <v>498</v>
      </c>
      <c r="F307" s="3" t="s">
        <v>5</v>
      </c>
      <c r="G307" s="4"/>
      <c r="H307" s="4"/>
      <c r="I307" s="5" t="str">
        <f t="shared" si="19"/>
        <v>Defs</v>
      </c>
      <c r="J307" t="str">
        <f>IF(Table2[[#This Row],[!Type]]=J$1, J$1,"rg:None")</f>
        <v>rg:None</v>
      </c>
      <c r="K307" t="str">
        <f>IF(Table2[[#This Row],[!Type]]=K$1, K$1,"rg:None")</f>
        <v>rg:None</v>
      </c>
      <c r="L307" t="str">
        <f>IF(Table2[[#This Row],[!Type]]=L$1, L$1,"rg:None")</f>
        <v>rg:None</v>
      </c>
      <c r="M307" t="str">
        <f>IF(Table2[[#This Row],[!Type]]=M$1, M$1,"rg:None")</f>
        <v>rg:None</v>
      </c>
      <c r="N307" s="9" t="str">
        <f>IF(Table2[[#This Row],[!Type]]=N$1, N$1,"rg:None")</f>
        <v>rg:None</v>
      </c>
      <c r="O307" s="9"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9">
        <f>IF(LEN(Table2[[#This Row],[!Length]]) &gt; 0, Table2[[#This Row],[!Length]], "rg:None")</f>
        <v>255</v>
      </c>
      <c r="U307" s="9" t="str">
        <f>IF(LEN(Table2[[#This Row],[!Name]]) &gt; 0, Table2[[#This Row],[!Name]], "rg:None")</f>
        <v>smAuthorizationDirectory</v>
      </c>
      <c r="V307" s="9" t="str">
        <f>IF(LEN(Table2[[#This Row],[!Description]]) &gt; 0, Table2[[#This Row],[!Description]], "rg:None")</f>
        <v>The user directory service used by Siteminder to authenticate the user - usually IDIR or BCeID.</v>
      </c>
      <c r="W307" s="9" t="str">
        <f>IF(LEN(Table2[[#This Row],[!FK]])&gt;0,Table2[[#This Row],[!FK]],"rg:None")</f>
        <v>rg:None</v>
      </c>
      <c r="X307" s="9" t="str">
        <f>IF(LEN(concatif2(A:A,Table2[[#This Row],[!Table]],G:G,"Y",D:D,",")) &gt; 0,"rg:[ { 'req' : '"&amp;concatif2(A:A,Table2[[#This Row],[!Table]],G:G,"Y",D:D,"' }, { 'req': '")&amp;"'} ]","rg:[]")</f>
        <v>rg:[ { 'req' : 'id' }, { 'req': 'givenName' }, { 'req': 'surname' }, { 'req': 'active'} ]</v>
      </c>
      <c r="Y307" s="9" t="str">
        <f>IF(LEN(Table2[[#This Row],[!Unique]])&gt;0,"rg:True","rg:None")</f>
        <v>rg:None</v>
      </c>
    </row>
    <row r="308" spans="1:25" x14ac:dyDescent="0.3">
      <c r="A308" s="3" t="s">
        <v>0</v>
      </c>
      <c r="B308" s="3" t="s">
        <v>19</v>
      </c>
      <c r="C308" s="3"/>
      <c r="D308" s="3" t="s">
        <v>56</v>
      </c>
      <c r="E308" s="42"/>
      <c r="F308" s="3" t="s">
        <v>58</v>
      </c>
      <c r="G308" s="4"/>
      <c r="H308" s="4"/>
      <c r="I308" s="5" t="str">
        <f t="shared" si="19"/>
        <v>Defs</v>
      </c>
      <c r="J308" t="str">
        <f>IF(Table2[[#This Row],[!Type]]=J$1, J$1,"rg:None")</f>
        <v>rg:None</v>
      </c>
      <c r="K308" t="str">
        <f>IF(Table2[[#This Row],[!Type]]=K$1, K$1,"rg:None")</f>
        <v>rg:None</v>
      </c>
      <c r="L308" t="str">
        <f>IF(Table2[[#This Row],[!Type]]=L$1, L$1,"rg:None")</f>
        <v>rg:None</v>
      </c>
      <c r="M308" t="str">
        <f>IF(Table2[[#This Row],[!Type]]=M$1, M$1,"rg:None")</f>
        <v>rg:None</v>
      </c>
      <c r="N308" s="9" t="str">
        <f>IF(Table2[[#This Row],[!Type]]=N$1, N$1,"rg:None")</f>
        <v>rg:None</v>
      </c>
      <c r="O308" s="9"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9" t="str">
        <f>IF(LEN(Table2[[#This Row],[!Length]]) &gt; 0, Table2[[#This Row],[!Length]], "rg:None")</f>
        <v>rg:None</v>
      </c>
      <c r="U308" s="9" t="str">
        <f>IF(LEN(Table2[[#This Row],[!Name]]) &gt; 0, Table2[[#This Row],[!Name]], "rg:None")</f>
        <v>userRoles</v>
      </c>
      <c r="V308" s="9" t="str">
        <f>IF(LEN(Table2[[#This Row],[!Description]]) &gt; 0, Table2[[#This Row],[!Description]], "rg:None")</f>
        <v>rg:None</v>
      </c>
      <c r="W308" s="9" t="str">
        <f>IF(LEN(Table2[[#This Row],[!FK]])&gt;0,Table2[[#This Row],[!FK]],"rg:None")</f>
        <v>UserRole</v>
      </c>
      <c r="X308" s="9" t="str">
        <f>IF(LEN(concatif2(A:A,Table2[[#This Row],[!Table]],G:G,"Y",D:D,",")) &gt; 0,"rg:[ { 'req' : '"&amp;concatif2(A:A,Table2[[#This Row],[!Table]],G:G,"Y",D:D,"' }, { 'req': '")&amp;"'} ]","rg:[]")</f>
        <v>rg:[ { 'req' : 'id' }, { 'req': 'givenName' }, { 'req': 'surname' }, { 'req': 'active'} ]</v>
      </c>
      <c r="Y308" s="9" t="str">
        <f>IF(LEN(Table2[[#This Row],[!Unique]])&gt;0,"rg:True","rg:None")</f>
        <v>rg:None</v>
      </c>
    </row>
    <row r="309" spans="1:25" x14ac:dyDescent="0.3">
      <c r="A309" s="3" t="s">
        <v>0</v>
      </c>
      <c r="B309" s="3" t="s">
        <v>19</v>
      </c>
      <c r="C309" s="3"/>
      <c r="D309" s="3" t="s">
        <v>57</v>
      </c>
      <c r="E309" s="42"/>
      <c r="F309" s="3" t="s">
        <v>67</v>
      </c>
      <c r="G309" s="4"/>
      <c r="H309" s="4"/>
      <c r="I309" s="5" t="str">
        <f t="shared" si="19"/>
        <v>Defs</v>
      </c>
      <c r="J309" t="str">
        <f>IF(Table2[[#This Row],[!Type]]=J$1, J$1,"rg:None")</f>
        <v>rg:None</v>
      </c>
      <c r="K309" t="str">
        <f>IF(Table2[[#This Row],[!Type]]=K$1, K$1,"rg:None")</f>
        <v>rg:None</v>
      </c>
      <c r="L309" t="str">
        <f>IF(Table2[[#This Row],[!Type]]=L$1, L$1,"rg:None")</f>
        <v>rg:None</v>
      </c>
      <c r="M309" t="str">
        <f>IF(Table2[[#This Row],[!Type]]=M$1, M$1,"rg:None")</f>
        <v>rg:None</v>
      </c>
      <c r="N309" s="9" t="str">
        <f>IF(Table2[[#This Row],[!Type]]=N$1, N$1,"rg:None")</f>
        <v>rg:None</v>
      </c>
      <c r="O309" s="9" t="str">
        <f>IF(Table2[[#This Row],[!Type]]=O$1, O$1,"rg:None")</f>
        <v>rg:None</v>
      </c>
      <c r="P309" s="5" t="str">
        <f>IF(Table2[[#This Row],[!Type]]=P$1, P$1,"rg:None")</f>
        <v>links</v>
      </c>
      <c r="Q309" s="5" t="str">
        <f>IF(Table2[[#This Row],[!Type]]=Q$1, Q$1,"rg:None")</f>
        <v>rg:None</v>
      </c>
      <c r="R309" s="5" t="str">
        <f>IF(Table2[[#This Row],[!Type]]=R$1, R$1,"rg:None")</f>
        <v>rg:None</v>
      </c>
      <c r="S309" s="5" t="str">
        <f>IF(Table2[[#This Row],[!Type]]=S$1, S$1,"rg:None")</f>
        <v>rg:None</v>
      </c>
      <c r="T309" s="9" t="str">
        <f>IF(LEN(Table2[[#This Row],[!Length]]) &gt; 0, Table2[[#This Row],[!Length]], "rg:None")</f>
        <v>rg:None</v>
      </c>
      <c r="U309" s="9" t="str">
        <f>IF(LEN(Table2[[#This Row],[!Name]]) &gt; 0, Table2[[#This Row],[!Name]], "rg:None")</f>
        <v>groupMemberships</v>
      </c>
      <c r="V309" s="9" t="str">
        <f>IF(LEN(Table2[[#This Row],[!Description]]) &gt; 0, Table2[[#This Row],[!Description]], "rg:None")</f>
        <v>rg:None</v>
      </c>
      <c r="W309" s="9" t="str">
        <f>IF(LEN(Table2[[#This Row],[!FK]])&gt;0,Table2[[#This Row],[!FK]],"rg:None")</f>
        <v>GroupMembership</v>
      </c>
      <c r="X309" s="9" t="str">
        <f>IF(LEN(concatif2(A:A,Table2[[#This Row],[!Table]],G:G,"Y",D:D,",")) &gt; 0,"rg:[ { 'req' : '"&amp;concatif2(A:A,Table2[[#This Row],[!Table]],G:G,"Y",D:D,"' }, { 'req': '")&amp;"'} ]","rg:[]")</f>
        <v>rg:[ { 'req' : 'id' }, { 'req': 'givenName' }, { 'req': 'surname' }, { 'req': 'active'} ]</v>
      </c>
      <c r="Y309" s="9" t="str">
        <f>IF(LEN(Table2[[#This Row],[!Unique]])&gt;0,"rg:True","rg:None")</f>
        <v>rg:None</v>
      </c>
    </row>
    <row r="310" spans="1:25" x14ac:dyDescent="0.3">
      <c r="A310" s="3" t="s">
        <v>58</v>
      </c>
      <c r="B310" s="3" t="s">
        <v>4</v>
      </c>
      <c r="C310" s="3"/>
      <c r="D310" s="3" t="s">
        <v>58</v>
      </c>
      <c r="E310" s="42" t="s">
        <v>499</v>
      </c>
      <c r="F310" s="3" t="s">
        <v>5</v>
      </c>
      <c r="G310" s="4"/>
      <c r="H310" s="4"/>
      <c r="I310" s="5" t="str">
        <f t="shared" si="19"/>
        <v>Defs</v>
      </c>
      <c r="J310" t="str">
        <f>IF(Table2[[#This Row],[!Type]]=J$1, J$1,"rg:None")</f>
        <v>rg:None</v>
      </c>
      <c r="K310" t="str">
        <f>IF(Table2[[#This Row],[!Type]]=K$1, K$1,"rg:None")</f>
        <v>rg:None</v>
      </c>
      <c r="L310" t="str">
        <f>IF(Table2[[#This Row],[!Type]]=L$1, L$1,"rg:None")</f>
        <v>rg:None</v>
      </c>
      <c r="M310" t="str">
        <f>IF(Table2[[#This Row],[!Type]]=M$1, M$1,"rg:None")</f>
        <v>rg:None</v>
      </c>
      <c r="N310" s="9" t="str">
        <f>IF(Table2[[#This Row],[!Type]]=N$1, N$1,"rg:None")</f>
        <v>rg:None</v>
      </c>
      <c r="O310" s="9"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9" t="str">
        <f>IF(LEN(Table2[[#This Row],[!Length]]) &gt; 0, Table2[[#This Row],[!Length]], "rg:None")</f>
        <v>rg:None</v>
      </c>
      <c r="U310" s="9" t="str">
        <f>IF(LEN(Table2[[#This Row],[!Name]]) &gt; 0, Table2[[#This Row],[!Name]], "rg:None")</f>
        <v>UserRole</v>
      </c>
      <c r="V31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9" t="str">
        <f>IF(LEN(Table2[[#This Row],[!FK]])&gt;0,Table2[[#This Row],[!FK]],"rg:None")</f>
        <v>rg:None</v>
      </c>
      <c r="X310" s="9" t="str">
        <f>IF(LEN(concatif2(A:A,Table2[[#This Row],[!Table]],G:G,"Y",D:D,",")) &gt; 0,"rg:[ { 'req' : '"&amp;concatif2(A:A,Table2[[#This Row],[!Table]],G:G,"Y",D:D,"' }, { 'req': '")&amp;"'} ]","rg:[]")</f>
        <v>rg:[ { 'req' : 'id' }, { 'req': 'effectiveDate'} ]</v>
      </c>
      <c r="Y310" s="9" t="str">
        <f>IF(LEN(Table2[[#This Row],[!Unique]])&gt;0,"rg:True","rg:None")</f>
        <v>rg:None</v>
      </c>
    </row>
    <row r="311" spans="1:25" x14ac:dyDescent="0.3">
      <c r="A311" s="3" t="s">
        <v>58</v>
      </c>
      <c r="B311" s="3" t="s">
        <v>6</v>
      </c>
      <c r="C311" s="3"/>
      <c r="D311" s="3" t="s">
        <v>6</v>
      </c>
      <c r="E311" s="42" t="s">
        <v>500</v>
      </c>
      <c r="F311" s="3" t="s">
        <v>5</v>
      </c>
      <c r="G311" s="4" t="s">
        <v>70</v>
      </c>
      <c r="H311" s="4"/>
      <c r="I311" s="5" t="str">
        <f t="shared" si="19"/>
        <v>Defs</v>
      </c>
      <c r="J311" t="str">
        <f>IF(Table2[[#This Row],[!Type]]=J$1, J$1,"rg:None")</f>
        <v>rg:None</v>
      </c>
      <c r="K311" t="str">
        <f>IF(Table2[[#This Row],[!Type]]=K$1, K$1,"rg:None")</f>
        <v>rg:None</v>
      </c>
      <c r="L311" t="str">
        <f>IF(Table2[[#This Row],[!Type]]=L$1, L$1,"rg:None")</f>
        <v>rg:None</v>
      </c>
      <c r="M311" t="str">
        <f>IF(Table2[[#This Row],[!Type]]=M$1, M$1,"rg:None")</f>
        <v>id</v>
      </c>
      <c r="N311" s="9" t="str">
        <f>IF(Table2[[#This Row],[!Type]]=N$1, N$1,"rg:None")</f>
        <v>rg:None</v>
      </c>
      <c r="O311" s="9"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9" t="str">
        <f>IF(LEN(Table2[[#This Row],[!Length]]) &gt; 0, Table2[[#This Row],[!Length]], "rg:None")</f>
        <v>rg:None</v>
      </c>
      <c r="U311" s="9" t="str">
        <f>IF(LEN(Table2[[#This Row],[!Name]]) &gt; 0, Table2[[#This Row],[!Name]], "rg:None")</f>
        <v>id</v>
      </c>
      <c r="V311" s="9" t="str">
        <f>IF(LEN(Table2[[#This Row],[!Description]]) &gt; 0, Table2[[#This Row],[!Description]], "rg:None")</f>
        <v>A system-generated unique identifier for a UserRole</v>
      </c>
      <c r="W311" s="9" t="str">
        <f>IF(LEN(Table2[[#This Row],[!FK]])&gt;0,Table2[[#This Row],[!FK]],"rg:None")</f>
        <v>rg:None</v>
      </c>
      <c r="X311" s="9" t="str">
        <f>IF(LEN(concatif2(A:A,Table2[[#This Row],[!Table]],G:G,"Y",D:D,",")) &gt; 0,"rg:[ { 'req' : '"&amp;concatif2(A:A,Table2[[#This Row],[!Table]],G:G,"Y",D:D,"' }, { 'req': '")&amp;"'} ]","rg:[]")</f>
        <v>rg:[ { 'req' : 'id' }, { 'req': 'effectiveDate'} ]</v>
      </c>
      <c r="Y311" s="9" t="str">
        <f>IF(LEN(Table2[[#This Row],[!Unique]])&gt;0,"rg:True","rg:None")</f>
        <v>rg:None</v>
      </c>
    </row>
    <row r="312" spans="1:25" x14ac:dyDescent="0.3">
      <c r="A312" s="3" t="s">
        <v>58</v>
      </c>
      <c r="B312" s="3" t="s">
        <v>12</v>
      </c>
      <c r="C312" s="3"/>
      <c r="D312" s="3" t="s">
        <v>59</v>
      </c>
      <c r="E312" s="42" t="s">
        <v>501</v>
      </c>
      <c r="F312" s="3" t="s">
        <v>5</v>
      </c>
      <c r="G312" s="4" t="s">
        <v>70</v>
      </c>
      <c r="H312" s="4"/>
      <c r="I312" s="5" t="str">
        <f t="shared" si="19"/>
        <v>Defs</v>
      </c>
      <c r="J312" t="str">
        <f>IF(Table2[[#This Row],[!Type]]=J$1, J$1,"rg:None")</f>
        <v>rg:None</v>
      </c>
      <c r="K312" t="str">
        <f>IF(Table2[[#This Row],[!Type]]=K$1, K$1,"rg:None")</f>
        <v>rg:None</v>
      </c>
      <c r="L312" t="str">
        <f>IF(Table2[[#This Row],[!Type]]=L$1, L$1,"rg:None")</f>
        <v>datetime</v>
      </c>
      <c r="M312" t="str">
        <f>IF(Table2[[#This Row],[!Type]]=M$1, M$1,"rg:None")</f>
        <v>rg:None</v>
      </c>
      <c r="N312" s="9" t="str">
        <f>IF(Table2[[#This Row],[!Type]]=N$1, N$1,"rg:None")</f>
        <v>rg:None</v>
      </c>
      <c r="O312" s="9"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9" t="str">
        <f>IF(LEN(Table2[[#This Row],[!Length]]) &gt; 0, Table2[[#This Row],[!Length]], "rg:None")</f>
        <v>rg:None</v>
      </c>
      <c r="U312" s="9" t="str">
        <f>IF(LEN(Table2[[#This Row],[!Name]]) &gt; 0, Table2[[#This Row],[!Name]], "rg:None")</f>
        <v>effectiveDate</v>
      </c>
      <c r="V312" s="9" t="str">
        <f>IF(LEN(Table2[[#This Row],[!Description]]) &gt; 0, Table2[[#This Row],[!Description]], "rg:None")</f>
        <v>The date on which the user was given the related role.</v>
      </c>
      <c r="W312" s="9" t="str">
        <f>IF(LEN(Table2[[#This Row],[!FK]])&gt;0,Table2[[#This Row],[!FK]],"rg:None")</f>
        <v>rg:None</v>
      </c>
      <c r="X312" s="9" t="str">
        <f>IF(LEN(concatif2(A:A,Table2[[#This Row],[!Table]],G:G,"Y",D:D,",")) &gt; 0,"rg:[ { 'req' : '"&amp;concatif2(A:A,Table2[[#This Row],[!Table]],G:G,"Y",D:D,"' }, { 'req': '")&amp;"'} ]","rg:[]")</f>
        <v>rg:[ { 'req' : 'id' }, { 'req': 'effectiveDate'} ]</v>
      </c>
      <c r="Y312" s="9" t="str">
        <f>IF(LEN(Table2[[#This Row],[!Unique]])&gt;0,"rg:True","rg:None")</f>
        <v>rg:None</v>
      </c>
    </row>
    <row r="313" spans="1:25" x14ac:dyDescent="0.3">
      <c r="A313" s="3" t="s">
        <v>58</v>
      </c>
      <c r="B313" s="3" t="s">
        <v>12</v>
      </c>
      <c r="C313" s="3"/>
      <c r="D313" s="3" t="s">
        <v>60</v>
      </c>
      <c r="E313" s="42" t="s">
        <v>502</v>
      </c>
      <c r="F313" s="3" t="s">
        <v>5</v>
      </c>
      <c r="G313" s="4"/>
      <c r="H313" s="4"/>
      <c r="I313" s="5" t="str">
        <f t="shared" si="19"/>
        <v>Defs</v>
      </c>
      <c r="J313" t="str">
        <f>IF(Table2[[#This Row],[!Type]]=J$1, J$1,"rg:None")</f>
        <v>rg:None</v>
      </c>
      <c r="K313" t="str">
        <f>IF(Table2[[#This Row],[!Type]]=K$1, K$1,"rg:None")</f>
        <v>rg:None</v>
      </c>
      <c r="L313" t="str">
        <f>IF(Table2[[#This Row],[!Type]]=L$1, L$1,"rg:None")</f>
        <v>datetime</v>
      </c>
      <c r="M313" t="str">
        <f>IF(Table2[[#This Row],[!Type]]=M$1, M$1,"rg:None")</f>
        <v>rg:None</v>
      </c>
      <c r="N313" s="9" t="str">
        <f>IF(Table2[[#This Row],[!Type]]=N$1, N$1,"rg:None")</f>
        <v>rg:None</v>
      </c>
      <c r="O313" s="9"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9" t="str">
        <f>IF(LEN(Table2[[#This Row],[!Length]]) &gt; 0, Table2[[#This Row],[!Length]], "rg:None")</f>
        <v>rg:None</v>
      </c>
      <c r="U313" s="9" t="str">
        <f>IF(LEN(Table2[[#This Row],[!Name]]) &gt; 0, Table2[[#This Row],[!Name]], "rg:None")</f>
        <v>expiryDate</v>
      </c>
      <c r="V313" s="9" t="str">
        <f>IF(LEN(Table2[[#This Row],[!Description]]) &gt; 0, Table2[[#This Row],[!Description]], "rg:None")</f>
        <v>The date on which a role previously assigned to a user was removed from that user.</v>
      </c>
      <c r="W313" s="9" t="str">
        <f>IF(LEN(Table2[[#This Row],[!FK]])&gt;0,Table2[[#This Row],[!FK]],"rg:None")</f>
        <v>rg:None</v>
      </c>
      <c r="X313" s="9" t="str">
        <f>IF(LEN(concatif2(A:A,Table2[[#This Row],[!Table]],G:G,"Y",D:D,",")) &gt; 0,"rg:[ { 'req' : '"&amp;concatif2(A:A,Table2[[#This Row],[!Table]],G:G,"Y",D:D,"' }, { 'req': '")&amp;"'} ]","rg:[]")</f>
        <v>rg:[ { 'req' : 'id' }, { 'req': 'effectiveDate'} ]</v>
      </c>
      <c r="Y313" s="9" t="str">
        <f>IF(LEN(Table2[[#This Row],[!Unique]])&gt;0,"rg:True","rg:None")</f>
        <v>rg:None</v>
      </c>
    </row>
    <row r="314" spans="1:25" x14ac:dyDescent="0.3">
      <c r="A314" s="3" t="s">
        <v>58</v>
      </c>
      <c r="B314" s="3" t="s">
        <v>8</v>
      </c>
      <c r="C314" s="3"/>
      <c r="D314" s="3" t="s">
        <v>18</v>
      </c>
      <c r="E314" s="42"/>
      <c r="F314" s="3" t="s">
        <v>61</v>
      </c>
      <c r="G314" s="4"/>
      <c r="H314" s="4"/>
      <c r="I314" s="5" t="str">
        <f t="shared" si="19"/>
        <v>Defs</v>
      </c>
      <c r="J314" t="str">
        <f>IF(Table2[[#This Row],[!Type]]=J$1, J$1,"rg:None")</f>
        <v>rg:None</v>
      </c>
      <c r="K314" t="str">
        <f>IF(Table2[[#This Row],[!Type]]=K$1, K$1,"rg:None")</f>
        <v>rg:None</v>
      </c>
      <c r="L314" t="str">
        <f>IF(Table2[[#This Row],[!Type]]=L$1, L$1,"rg:None")</f>
        <v>rg:None</v>
      </c>
      <c r="M314" t="str">
        <f>IF(Table2[[#This Row],[!Type]]=M$1, M$1,"rg:None")</f>
        <v>rg:None</v>
      </c>
      <c r="N314" s="9" t="str">
        <f>IF(Table2[[#This Row],[!Type]]=N$1, N$1,"rg:None")</f>
        <v>rg:None</v>
      </c>
      <c r="O314" s="9"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9" t="str">
        <f>IF(LEN(Table2[[#This Row],[!Length]]) &gt; 0, Table2[[#This Row],[!Length]], "rg:None")</f>
        <v>rg:None</v>
      </c>
      <c r="U314" s="9" t="str">
        <f>IF(LEN(Table2[[#This Row],[!Name]]) &gt; 0, Table2[[#This Row],[!Name]], "rg:None")</f>
        <v>role</v>
      </c>
      <c r="V314" s="9" t="str">
        <f>IF(LEN(Table2[[#This Row],[!Description]]) &gt; 0, Table2[[#This Row],[!Description]], "rg:None")</f>
        <v>rg:None</v>
      </c>
      <c r="W314" s="9" t="str">
        <f>IF(LEN(Table2[[#This Row],[!FK]])&gt;0,Table2[[#This Row],[!FK]],"rg:None")</f>
        <v>Role</v>
      </c>
      <c r="X314" s="9" t="str">
        <f>IF(LEN(concatif2(A:A,Table2[[#This Row],[!Table]],G:G,"Y",D:D,",")) &gt; 0,"rg:[ { 'req' : '"&amp;concatif2(A:A,Table2[[#This Row],[!Table]],G:G,"Y",D:D,"' }, { 'req': '")&amp;"'} ]","rg:[]")</f>
        <v>rg:[ { 'req' : 'id' }, { 'req': 'effectiveDate'} ]</v>
      </c>
      <c r="Y314" s="9" t="str">
        <f>IF(LEN(Table2[[#This Row],[!Unique]])&gt;0,"rg:True","rg:None")</f>
        <v>rg:None</v>
      </c>
    </row>
    <row r="315" spans="1:25" x14ac:dyDescent="0.3">
      <c r="A315" s="3" t="s">
        <v>61</v>
      </c>
      <c r="B315" s="3" t="s">
        <v>4</v>
      </c>
      <c r="C315" s="3"/>
      <c r="D315" s="3" t="s">
        <v>61</v>
      </c>
      <c r="E315" s="42" t="s">
        <v>503</v>
      </c>
      <c r="F315" s="3" t="s">
        <v>5</v>
      </c>
      <c r="G315" s="4"/>
      <c r="H315" s="4"/>
      <c r="I315" s="5" t="str">
        <f t="shared" si="19"/>
        <v>Defs</v>
      </c>
      <c r="J315" t="str">
        <f>IF(Table2[[#This Row],[!Type]]=J$1, J$1,"rg:None")</f>
        <v>rg:None</v>
      </c>
      <c r="K315" t="str">
        <f>IF(Table2[[#This Row],[!Type]]=K$1, K$1,"rg:None")</f>
        <v>rg:None</v>
      </c>
      <c r="L315" t="str">
        <f>IF(Table2[[#This Row],[!Type]]=L$1, L$1,"rg:None")</f>
        <v>rg:None</v>
      </c>
      <c r="M315" t="str">
        <f>IF(Table2[[#This Row],[!Type]]=M$1, M$1,"rg:None")</f>
        <v>rg:None</v>
      </c>
      <c r="N315" s="9" t="str">
        <f>IF(Table2[[#This Row],[!Type]]=N$1, N$1,"rg:None")</f>
        <v>rg:None</v>
      </c>
      <c r="O315" s="9"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9" t="str">
        <f>IF(LEN(Table2[[#This Row],[!Length]]) &gt; 0, Table2[[#This Row],[!Length]], "rg:None")</f>
        <v>rg:None</v>
      </c>
      <c r="U315" s="9" t="str">
        <f>IF(LEN(Table2[[#This Row],[!Name]]) &gt; 0, Table2[[#This Row],[!Name]], "rg:None")</f>
        <v>Role</v>
      </c>
      <c r="V315"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315" s="9" t="str">
        <f>IF(LEN(Table2[[#This Row],[!FK]])&gt;0,Table2[[#This Row],[!FK]],"rg:None")</f>
        <v>rg:None</v>
      </c>
      <c r="X315" s="9" t="str">
        <f>IF(LEN(concatif2(A:A,Table2[[#This Row],[!Table]],G:G,"Y",D:D,",")) &gt; 0,"rg:[ { 'req' : '"&amp;concatif2(A:A,Table2[[#This Row],[!Table]],G:G,"Y",D:D,"' }, { 'req': '")&amp;"'} ]","rg:[]")</f>
        <v>rg:[ { 'req' : 'id' }, { 'req': 'name' }, { 'req': 'description'} ]</v>
      </c>
      <c r="Y315" s="9" t="str">
        <f>IF(LEN(Table2[[#This Row],[!Unique]])&gt;0,"rg:True","rg:None")</f>
        <v>rg:None</v>
      </c>
    </row>
    <row r="316" spans="1:25" x14ac:dyDescent="0.3">
      <c r="A316" s="3" t="s">
        <v>61</v>
      </c>
      <c r="B316" s="3" t="s">
        <v>6</v>
      </c>
      <c r="C316" s="3"/>
      <c r="D316" s="3" t="s">
        <v>6</v>
      </c>
      <c r="E316" s="42" t="s">
        <v>504</v>
      </c>
      <c r="F316" s="3" t="s">
        <v>5</v>
      </c>
      <c r="G316" s="4" t="s">
        <v>70</v>
      </c>
      <c r="H316" s="4"/>
      <c r="I316" s="5" t="str">
        <f t="shared" si="19"/>
        <v>Defs</v>
      </c>
      <c r="J316" t="str">
        <f>IF(Table2[[#This Row],[!Type]]=J$1, J$1,"rg:None")</f>
        <v>rg:None</v>
      </c>
      <c r="K316" t="str">
        <f>IF(Table2[[#This Row],[!Type]]=K$1, K$1,"rg:None")</f>
        <v>rg:None</v>
      </c>
      <c r="L316" t="str">
        <f>IF(Table2[[#This Row],[!Type]]=L$1, L$1,"rg:None")</f>
        <v>rg:None</v>
      </c>
      <c r="M316" t="str">
        <f>IF(Table2[[#This Row],[!Type]]=M$1, M$1,"rg:None")</f>
        <v>id</v>
      </c>
      <c r="N316" s="9" t="str">
        <f>IF(Table2[[#This Row],[!Type]]=N$1, N$1,"rg:None")</f>
        <v>rg:None</v>
      </c>
      <c r="O316" s="9"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9" t="str">
        <f>IF(LEN(Table2[[#This Row],[!Length]]) &gt; 0, Table2[[#This Row],[!Length]], "rg:None")</f>
        <v>rg:None</v>
      </c>
      <c r="U316" s="9" t="str">
        <f>IF(LEN(Table2[[#This Row],[!Name]]) &gt; 0, Table2[[#This Row],[!Name]], "rg:None")</f>
        <v>id</v>
      </c>
      <c r="V316" s="9" t="str">
        <f>IF(LEN(Table2[[#This Row],[!Description]]) &gt; 0, Table2[[#This Row],[!Description]], "rg:None")</f>
        <v>A system-generated unique identifier for a Role</v>
      </c>
      <c r="W316" s="9" t="str">
        <f>IF(LEN(Table2[[#This Row],[!FK]])&gt;0,Table2[[#This Row],[!FK]],"rg:None")</f>
        <v>rg:None</v>
      </c>
      <c r="X316" s="9" t="str">
        <f>IF(LEN(concatif2(A:A,Table2[[#This Row],[!Table]],G:G,"Y",D:D,",")) &gt; 0,"rg:[ { 'req' : '"&amp;concatif2(A:A,Table2[[#This Row],[!Table]],G:G,"Y",D:D,"' }, { 'req': '")&amp;"'} ]","rg:[]")</f>
        <v>rg:[ { 'req' : 'id' }, { 'req': 'name' }, { 'req': 'description'} ]</v>
      </c>
      <c r="Y316" s="9" t="str">
        <f>IF(LEN(Table2[[#This Row],[!Unique]])&gt;0,"rg:True","rg:None")</f>
        <v>rg:None</v>
      </c>
    </row>
    <row r="317" spans="1:25" x14ac:dyDescent="0.3">
      <c r="A317" s="3" t="s">
        <v>61</v>
      </c>
      <c r="B317" s="3" t="s">
        <v>7</v>
      </c>
      <c r="C317" s="3">
        <v>255</v>
      </c>
      <c r="D317" s="3" t="s">
        <v>15</v>
      </c>
      <c r="E317" s="42" t="s">
        <v>505</v>
      </c>
      <c r="F317" s="3" t="s">
        <v>5</v>
      </c>
      <c r="G317" s="4" t="s">
        <v>70</v>
      </c>
      <c r="H317" s="4"/>
      <c r="I317" s="5" t="str">
        <f t="shared" si="19"/>
        <v>Defs</v>
      </c>
      <c r="J317" t="str">
        <f>IF(Table2[[#This Row],[!Type]]=J$1, J$1,"rg:None")</f>
        <v>rg:None</v>
      </c>
      <c r="K317" t="str">
        <f>IF(Table2[[#This Row],[!Type]]=K$1, K$1,"rg:None")</f>
        <v>rg:None</v>
      </c>
      <c r="L317" t="str">
        <f>IF(Table2[[#This Row],[!Type]]=L$1, L$1,"rg:None")</f>
        <v>rg:None</v>
      </c>
      <c r="M317" t="str">
        <f>IF(Table2[[#This Row],[!Type]]=M$1, M$1,"rg:None")</f>
        <v>rg:None</v>
      </c>
      <c r="N317" s="9" t="str">
        <f>IF(Table2[[#This Row],[!Type]]=N$1, N$1,"rg:None")</f>
        <v>rg:None</v>
      </c>
      <c r="O317" s="9"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9">
        <f>IF(LEN(Table2[[#This Row],[!Length]]) &gt; 0, Table2[[#This Row],[!Length]], "rg:None")</f>
        <v>255</v>
      </c>
      <c r="U317" s="9" t="str">
        <f>IF(LEN(Table2[[#This Row],[!Name]]) &gt; 0, Table2[[#This Row],[!Name]], "rg:None")</f>
        <v>name</v>
      </c>
      <c r="V317" s="9" t="str">
        <f>IF(LEN(Table2[[#This Row],[!Description]]) &gt; 0, Table2[[#This Row],[!Description]], "rg:None")</f>
        <v>The name of the Role, as established by the user creating the role.</v>
      </c>
      <c r="W317" s="9" t="str">
        <f>IF(LEN(Table2[[#This Row],[!FK]])&gt;0,Table2[[#This Row],[!FK]],"rg:None")</f>
        <v>rg:None</v>
      </c>
      <c r="X317" s="9" t="str">
        <f>IF(LEN(concatif2(A:A,Table2[[#This Row],[!Table]],G:G,"Y",D:D,",")) &gt; 0,"rg:[ { 'req' : '"&amp;concatif2(A:A,Table2[[#This Row],[!Table]],G:G,"Y",D:D,"' }, { 'req': '")&amp;"'} ]","rg:[]")</f>
        <v>rg:[ { 'req' : 'id' }, { 'req': 'name' }, { 'req': 'description'} ]</v>
      </c>
      <c r="Y317" s="9" t="str">
        <f>IF(LEN(Table2[[#This Row],[!Unique]])&gt;0,"rg:True","rg:None")</f>
        <v>rg:None</v>
      </c>
    </row>
    <row r="318" spans="1:25" x14ac:dyDescent="0.3">
      <c r="A318" s="3" t="s">
        <v>61</v>
      </c>
      <c r="B318" s="3" t="s">
        <v>7</v>
      </c>
      <c r="C318" s="3">
        <v>255</v>
      </c>
      <c r="D318" s="3" t="s">
        <v>14</v>
      </c>
      <c r="E318" s="42" t="s">
        <v>506</v>
      </c>
      <c r="F318" s="3" t="s">
        <v>5</v>
      </c>
      <c r="G318" s="4" t="s">
        <v>70</v>
      </c>
      <c r="H318" s="4"/>
      <c r="I318" s="5" t="str">
        <f t="shared" si="19"/>
        <v>Defs</v>
      </c>
      <c r="J318" t="str">
        <f>IF(Table2[[#This Row],[!Type]]=J$1, J$1,"rg:None")</f>
        <v>rg:None</v>
      </c>
      <c r="K318" t="str">
        <f>IF(Table2[[#This Row],[!Type]]=K$1, K$1,"rg:None")</f>
        <v>rg:None</v>
      </c>
      <c r="L318" t="str">
        <f>IF(Table2[[#This Row],[!Type]]=L$1, L$1,"rg:None")</f>
        <v>rg:None</v>
      </c>
      <c r="M318" t="str">
        <f>IF(Table2[[#This Row],[!Type]]=M$1, M$1,"rg:None")</f>
        <v>rg:None</v>
      </c>
      <c r="N318" s="9" t="str">
        <f>IF(Table2[[#This Row],[!Type]]=N$1, N$1,"rg:None")</f>
        <v>rg:None</v>
      </c>
      <c r="O318" s="9"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9">
        <f>IF(LEN(Table2[[#This Row],[!Length]]) &gt; 0, Table2[[#This Row],[!Length]], "rg:None")</f>
        <v>255</v>
      </c>
      <c r="U318" s="9" t="str">
        <f>IF(LEN(Table2[[#This Row],[!Name]]) &gt; 0, Table2[[#This Row],[!Name]], "rg:None")</f>
        <v>description</v>
      </c>
      <c r="V318" s="9" t="str">
        <f>IF(LEN(Table2[[#This Row],[!Description]]) &gt; 0, Table2[[#This Row],[!Description]], "rg:None")</f>
        <v>A description of the role as set by the user creating/updating the role.</v>
      </c>
      <c r="W318" s="9" t="str">
        <f>IF(LEN(Table2[[#This Row],[!FK]])&gt;0,Table2[[#This Row],[!FK]],"rg:None")</f>
        <v>rg:None</v>
      </c>
      <c r="X318" s="9" t="str">
        <f>IF(LEN(concatif2(A:A,Table2[[#This Row],[!Table]],G:G,"Y",D:D,",")) &gt; 0,"rg:[ { 'req' : '"&amp;concatif2(A:A,Table2[[#This Row],[!Table]],G:G,"Y",D:D,"' }, { 'req': '")&amp;"'} ]","rg:[]")</f>
        <v>rg:[ { 'req' : 'id' }, { 'req': 'name' }, { 'req': 'description'} ]</v>
      </c>
      <c r="Y318" s="9" t="str">
        <f>IF(LEN(Table2[[#This Row],[!Unique]])&gt;0,"rg:True","rg:None")</f>
        <v>rg:None</v>
      </c>
    </row>
    <row r="319" spans="1:25" x14ac:dyDescent="0.3">
      <c r="A319" s="3" t="s">
        <v>61</v>
      </c>
      <c r="B319" s="3" t="s">
        <v>19</v>
      </c>
      <c r="C319" s="3"/>
      <c r="D319" s="3" t="s">
        <v>62</v>
      </c>
      <c r="E319" s="42"/>
      <c r="F319" s="3" t="s">
        <v>63</v>
      </c>
      <c r="G319" s="4"/>
      <c r="H319" s="4"/>
      <c r="I319" s="5" t="str">
        <f t="shared" si="19"/>
        <v>Defs</v>
      </c>
      <c r="J319" t="str">
        <f>IF(Table2[[#This Row],[!Type]]=J$1, J$1,"rg:None")</f>
        <v>rg:None</v>
      </c>
      <c r="K319" t="str">
        <f>IF(Table2[[#This Row],[!Type]]=K$1, K$1,"rg:None")</f>
        <v>rg:None</v>
      </c>
      <c r="L319" t="str">
        <f>IF(Table2[[#This Row],[!Type]]=L$1, L$1,"rg:None")</f>
        <v>rg:None</v>
      </c>
      <c r="M319" t="str">
        <f>IF(Table2[[#This Row],[!Type]]=M$1, M$1,"rg:None")</f>
        <v>rg:None</v>
      </c>
      <c r="N319" s="9" t="str">
        <f>IF(Table2[[#This Row],[!Type]]=N$1, N$1,"rg:None")</f>
        <v>rg:None</v>
      </c>
      <c r="O319" s="9"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9" t="str">
        <f>IF(LEN(Table2[[#This Row],[!Length]]) &gt; 0, Table2[[#This Row],[!Length]], "rg:None")</f>
        <v>rg:None</v>
      </c>
      <c r="U319" s="9" t="str">
        <f>IF(LEN(Table2[[#This Row],[!Name]]) &gt; 0, Table2[[#This Row],[!Name]], "rg:None")</f>
        <v>rolePermissions</v>
      </c>
      <c r="V319" s="9" t="str">
        <f>IF(LEN(Table2[[#This Row],[!Description]]) &gt; 0, Table2[[#This Row],[!Description]], "rg:None")</f>
        <v>rg:None</v>
      </c>
      <c r="W319" s="9" t="str">
        <f>IF(LEN(Table2[[#This Row],[!FK]])&gt;0,Table2[[#This Row],[!FK]],"rg:None")</f>
        <v>RolePermission</v>
      </c>
      <c r="X319" s="9" t="str">
        <f>IF(LEN(concatif2(A:A,Table2[[#This Row],[!Table]],G:G,"Y",D:D,",")) &gt; 0,"rg:[ { 'req' : '"&amp;concatif2(A:A,Table2[[#This Row],[!Table]],G:G,"Y",D:D,"' }, { 'req': '")&amp;"'} ]","rg:[]")</f>
        <v>rg:[ { 'req' : 'id' }, { 'req': 'name' }, { 'req': 'description'} ]</v>
      </c>
      <c r="Y319" s="9" t="str">
        <f>IF(LEN(Table2[[#This Row],[!Unique]])&gt;0,"rg:True","rg:None")</f>
        <v>rg:None</v>
      </c>
    </row>
    <row r="320" spans="1:25" x14ac:dyDescent="0.3">
      <c r="A320" s="3" t="s">
        <v>61</v>
      </c>
      <c r="B320" s="3" t="s">
        <v>19</v>
      </c>
      <c r="C320" s="3"/>
      <c r="D320" s="3" t="s">
        <v>56</v>
      </c>
      <c r="E320" s="42"/>
      <c r="F320" s="3" t="s">
        <v>58</v>
      </c>
      <c r="G320" s="4"/>
      <c r="H320" s="4"/>
      <c r="I320" s="5" t="str">
        <f t="shared" si="19"/>
        <v>Defs</v>
      </c>
      <c r="J320" t="str">
        <f>IF(Table2[[#This Row],[!Type]]=J$1, J$1,"rg:None")</f>
        <v>rg:None</v>
      </c>
      <c r="K320" t="str">
        <f>IF(Table2[[#This Row],[!Type]]=K$1, K$1,"rg:None")</f>
        <v>rg:None</v>
      </c>
      <c r="L320" t="str">
        <f>IF(Table2[[#This Row],[!Type]]=L$1, L$1,"rg:None")</f>
        <v>rg:None</v>
      </c>
      <c r="M320" t="str">
        <f>IF(Table2[[#This Row],[!Type]]=M$1, M$1,"rg:None")</f>
        <v>rg:None</v>
      </c>
      <c r="N320" s="9" t="str">
        <f>IF(Table2[[#This Row],[!Type]]=N$1, N$1,"rg:None")</f>
        <v>rg:None</v>
      </c>
      <c r="O320" s="9"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9" t="str">
        <f>IF(LEN(Table2[[#This Row],[!Length]]) &gt; 0, Table2[[#This Row],[!Length]], "rg:None")</f>
        <v>rg:None</v>
      </c>
      <c r="U320" s="9" t="str">
        <f>IF(LEN(Table2[[#This Row],[!Name]]) &gt; 0, Table2[[#This Row],[!Name]], "rg:None")</f>
        <v>userRoles</v>
      </c>
      <c r="V320" s="9" t="str">
        <f>IF(LEN(Table2[[#This Row],[!Description]]) &gt; 0, Table2[[#This Row],[!Description]], "rg:None")</f>
        <v>rg:None</v>
      </c>
      <c r="W320" s="9" t="str">
        <f>IF(LEN(Table2[[#This Row],[!FK]])&gt;0,Table2[[#This Row],[!FK]],"rg:None")</f>
        <v>UserRole</v>
      </c>
      <c r="X320" s="9" t="str">
        <f>IF(LEN(concatif2(A:A,Table2[[#This Row],[!Table]],G:G,"Y",D:D,",")) &gt; 0,"rg:[ { 'req' : '"&amp;concatif2(A:A,Table2[[#This Row],[!Table]],G:G,"Y",D:D,"' }, { 'req': '")&amp;"'} ]","rg:[]")</f>
        <v>rg:[ { 'req' : 'id' }, { 'req': 'name' }, { 'req': 'description'} ]</v>
      </c>
      <c r="Y320" s="9" t="str">
        <f>IF(LEN(Table2[[#This Row],[!Unique]])&gt;0,"rg:True","rg:None")</f>
        <v>rg:None</v>
      </c>
    </row>
    <row r="321" spans="1:25" x14ac:dyDescent="0.3">
      <c r="A321" s="3" t="s">
        <v>63</v>
      </c>
      <c r="B321" s="3" t="s">
        <v>4</v>
      </c>
      <c r="C321" s="3"/>
      <c r="D321" s="3" t="s">
        <v>63</v>
      </c>
      <c r="E321" s="42" t="s">
        <v>507</v>
      </c>
      <c r="F321" s="3" t="s">
        <v>5</v>
      </c>
      <c r="G321" s="4"/>
      <c r="H321" s="4"/>
      <c r="I321" s="5" t="str">
        <f t="shared" si="19"/>
        <v>Defs</v>
      </c>
      <c r="J321" t="str">
        <f>IF(Table2[[#This Row],[!Type]]=J$1, J$1,"rg:None")</f>
        <v>rg:None</v>
      </c>
      <c r="K321" t="str">
        <f>IF(Table2[[#This Row],[!Type]]=K$1, K$1,"rg:None")</f>
        <v>rg:None</v>
      </c>
      <c r="L321" t="str">
        <f>IF(Table2[[#This Row],[!Type]]=L$1, L$1,"rg:None")</f>
        <v>rg:None</v>
      </c>
      <c r="M321" t="str">
        <f>IF(Table2[[#This Row],[!Type]]=M$1, M$1,"rg:None")</f>
        <v>rg:None</v>
      </c>
      <c r="N321" s="9" t="str">
        <f>IF(Table2[[#This Row],[!Type]]=N$1, N$1,"rg:None")</f>
        <v>rg:None</v>
      </c>
      <c r="O321" s="9"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9" t="str">
        <f>IF(LEN(Table2[[#This Row],[!Length]]) &gt; 0, Table2[[#This Row],[!Length]], "rg:None")</f>
        <v>rg:None</v>
      </c>
      <c r="U321" s="9" t="str">
        <f>IF(LEN(Table2[[#This Row],[!Name]]) &gt; 0, Table2[[#This Row],[!Name]], "rg:None")</f>
        <v>RolePermission</v>
      </c>
      <c r="V321" s="9" t="str">
        <f>IF(LEN(Table2[[#This Row],[!Description]]) &gt; 0, Table2[[#This Row],[!Description]], "rg:None")</f>
        <v>The collection of permissions included in a role.</v>
      </c>
      <c r="W321" s="9" t="str">
        <f>IF(LEN(Table2[[#This Row],[!FK]])&gt;0,Table2[[#This Row],[!FK]],"rg:None")</f>
        <v>rg:None</v>
      </c>
      <c r="X321" s="9" t="str">
        <f>IF(LEN(concatif2(A:A,Table2[[#This Row],[!Table]],G:G,"Y",D:D,",")) &gt; 0,"rg:[ { 'req' : '"&amp;concatif2(A:A,Table2[[#This Row],[!Table]],G:G,"Y",D:D,"' }, { 'req': '")&amp;"'} ]","rg:[]")</f>
        <v>rg:[ { 'req' : 'id'} ]</v>
      </c>
      <c r="Y321" s="9" t="str">
        <f>IF(LEN(Table2[[#This Row],[!Unique]])&gt;0,"rg:True","rg:None")</f>
        <v>rg:None</v>
      </c>
    </row>
    <row r="322" spans="1:25" x14ac:dyDescent="0.3">
      <c r="A322" s="3" t="s">
        <v>63</v>
      </c>
      <c r="B322" s="3" t="s">
        <v>6</v>
      </c>
      <c r="C322" s="3"/>
      <c r="D322" s="3" t="s">
        <v>6</v>
      </c>
      <c r="E322" s="42" t="s">
        <v>508</v>
      </c>
      <c r="F322" s="3" t="s">
        <v>5</v>
      </c>
      <c r="G322" s="4" t="s">
        <v>70</v>
      </c>
      <c r="H322" s="4"/>
      <c r="I322" s="5" t="str">
        <f t="shared" si="19"/>
        <v>Defs</v>
      </c>
      <c r="J322" t="str">
        <f>IF(Table2[[#This Row],[!Type]]=J$1, J$1,"rg:None")</f>
        <v>rg:None</v>
      </c>
      <c r="K322" t="str">
        <f>IF(Table2[[#This Row],[!Type]]=K$1, K$1,"rg:None")</f>
        <v>rg:None</v>
      </c>
      <c r="L322" t="str">
        <f>IF(Table2[[#This Row],[!Type]]=L$1, L$1,"rg:None")</f>
        <v>rg:None</v>
      </c>
      <c r="M322" t="str">
        <f>IF(Table2[[#This Row],[!Type]]=M$1, M$1,"rg:None")</f>
        <v>id</v>
      </c>
      <c r="N322" s="9" t="str">
        <f>IF(Table2[[#This Row],[!Type]]=N$1, N$1,"rg:None")</f>
        <v>rg:None</v>
      </c>
      <c r="O322" s="9"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9" t="str">
        <f>IF(LEN(Table2[[#This Row],[!Length]]) &gt; 0, Table2[[#This Row],[!Length]], "rg:None")</f>
        <v>rg:None</v>
      </c>
      <c r="U322" s="9" t="str">
        <f>IF(LEN(Table2[[#This Row],[!Name]]) &gt; 0, Table2[[#This Row],[!Name]], "rg:None")</f>
        <v>id</v>
      </c>
      <c r="V322" s="9" t="str">
        <f>IF(LEN(Table2[[#This Row],[!Description]]) &gt; 0, Table2[[#This Row],[!Description]], "rg:None")</f>
        <v>A system-generated unique identifier for a RolePermission</v>
      </c>
      <c r="W322" s="9" t="str">
        <f>IF(LEN(Table2[[#This Row],[!FK]])&gt;0,Table2[[#This Row],[!FK]],"rg:None")</f>
        <v>rg:None</v>
      </c>
      <c r="X322" s="9" t="str">
        <f>IF(LEN(concatif2(A:A,Table2[[#This Row],[!Table]],G:G,"Y",D:D,",")) &gt; 0,"rg:[ { 'req' : '"&amp;concatif2(A:A,Table2[[#This Row],[!Table]],G:G,"Y",D:D,"' }, { 'req': '")&amp;"'} ]","rg:[]")</f>
        <v>rg:[ { 'req' : 'id'} ]</v>
      </c>
      <c r="Y322" s="9" t="str">
        <f>IF(LEN(Table2[[#This Row],[!Unique]])&gt;0,"rg:True","rg:None")</f>
        <v>rg:None</v>
      </c>
    </row>
    <row r="323" spans="1:25" x14ac:dyDescent="0.3">
      <c r="A323" s="3" t="s">
        <v>63</v>
      </c>
      <c r="B323" s="3" t="s">
        <v>8</v>
      </c>
      <c r="C323" s="3"/>
      <c r="D323" s="3" t="s">
        <v>18</v>
      </c>
      <c r="E323" s="42"/>
      <c r="F323" s="3" t="s">
        <v>61</v>
      </c>
      <c r="G323" s="4"/>
      <c r="H323" s="4"/>
      <c r="I323" s="5" t="str">
        <f t="shared" si="19"/>
        <v>Defs</v>
      </c>
      <c r="J323" t="str">
        <f>IF(Table2[[#This Row],[!Type]]=J$1, J$1,"rg:None")</f>
        <v>rg:None</v>
      </c>
      <c r="K323" t="str">
        <f>IF(Table2[[#This Row],[!Type]]=K$1, K$1,"rg:None")</f>
        <v>rg:None</v>
      </c>
      <c r="L323" t="str">
        <f>IF(Table2[[#This Row],[!Type]]=L$1, L$1,"rg:None")</f>
        <v>rg:None</v>
      </c>
      <c r="M323" t="str">
        <f>IF(Table2[[#This Row],[!Type]]=M$1, M$1,"rg:None")</f>
        <v>rg:None</v>
      </c>
      <c r="N323" s="9" t="str">
        <f>IF(Table2[[#This Row],[!Type]]=N$1, N$1,"rg:None")</f>
        <v>rg:None</v>
      </c>
      <c r="O323" s="9"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9" t="str">
        <f>IF(LEN(Table2[[#This Row],[!Length]]) &gt; 0, Table2[[#This Row],[!Length]], "rg:None")</f>
        <v>rg:None</v>
      </c>
      <c r="U323" s="9" t="str">
        <f>IF(LEN(Table2[[#This Row],[!Name]]) &gt; 0, Table2[[#This Row],[!Name]], "rg:None")</f>
        <v>role</v>
      </c>
      <c r="V323" s="9" t="str">
        <f>IF(LEN(Table2[[#This Row],[!Description]]) &gt; 0, Table2[[#This Row],[!Description]], "rg:None")</f>
        <v>rg:None</v>
      </c>
      <c r="W323" s="9" t="str">
        <f>IF(LEN(Table2[[#This Row],[!FK]])&gt;0,Table2[[#This Row],[!FK]],"rg:None")</f>
        <v>Role</v>
      </c>
      <c r="X323" s="9" t="str">
        <f>IF(LEN(concatif2(A:A,Table2[[#This Row],[!Table]],G:G,"Y",D:D,",")) &gt; 0,"rg:[ { 'req' : '"&amp;concatif2(A:A,Table2[[#This Row],[!Table]],G:G,"Y",D:D,"' }, { 'req': '")&amp;"'} ]","rg:[]")</f>
        <v>rg:[ { 'req' : 'id'} ]</v>
      </c>
      <c r="Y323" s="9" t="str">
        <f>IF(LEN(Table2[[#This Row],[!Unique]])&gt;0,"rg:True","rg:None")</f>
        <v>rg:None</v>
      </c>
    </row>
    <row r="324" spans="1:25" x14ac:dyDescent="0.3">
      <c r="A324" s="3" t="s">
        <v>63</v>
      </c>
      <c r="B324" s="3" t="s">
        <v>8</v>
      </c>
      <c r="C324" s="3"/>
      <c r="D324" s="3" t="s">
        <v>64</v>
      </c>
      <c r="E324" s="42"/>
      <c r="F324" s="3" t="s">
        <v>65</v>
      </c>
      <c r="G324" s="4"/>
      <c r="H324" s="4"/>
      <c r="I324" s="5" t="str">
        <f t="shared" si="19"/>
        <v>Defs</v>
      </c>
      <c r="J324" t="str">
        <f>IF(Table2[[#This Row],[!Type]]=J$1, J$1,"rg:None")</f>
        <v>rg:None</v>
      </c>
      <c r="K324" t="str">
        <f>IF(Table2[[#This Row],[!Type]]=K$1, K$1,"rg:None")</f>
        <v>rg:None</v>
      </c>
      <c r="L324" t="str">
        <f>IF(Table2[[#This Row],[!Type]]=L$1, L$1,"rg:None")</f>
        <v>rg:None</v>
      </c>
      <c r="M324" t="str">
        <f>IF(Table2[[#This Row],[!Type]]=M$1, M$1,"rg:None")</f>
        <v>rg:None</v>
      </c>
      <c r="N324" s="9" t="str">
        <f>IF(Table2[[#This Row],[!Type]]=N$1, N$1,"rg:None")</f>
        <v>rg:None</v>
      </c>
      <c r="O324" s="9"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9" t="str">
        <f>IF(LEN(Table2[[#This Row],[!Length]]) &gt; 0, Table2[[#This Row],[!Length]], "rg:None")</f>
        <v>rg:None</v>
      </c>
      <c r="U324" s="9" t="str">
        <f>IF(LEN(Table2[[#This Row],[!Name]]) &gt; 0, Table2[[#This Row],[!Name]], "rg:None")</f>
        <v>permission</v>
      </c>
      <c r="V324" s="9" t="str">
        <f>IF(LEN(Table2[[#This Row],[!Description]]) &gt; 0, Table2[[#This Row],[!Description]], "rg:None")</f>
        <v>rg:None</v>
      </c>
      <c r="W324" s="9" t="str">
        <f>IF(LEN(Table2[[#This Row],[!FK]])&gt;0,Table2[[#This Row],[!FK]],"rg:None")</f>
        <v>Permission</v>
      </c>
      <c r="X324" s="9" t="str">
        <f>IF(LEN(concatif2(A:A,Table2[[#This Row],[!Table]],G:G,"Y",D:D,",")) &gt; 0,"rg:[ { 'req' : '"&amp;concatif2(A:A,Table2[[#This Row],[!Table]],G:G,"Y",D:D,"' }, { 'req': '")&amp;"'} ]","rg:[]")</f>
        <v>rg:[ { 'req' : 'id'} ]</v>
      </c>
      <c r="Y324" s="9" t="str">
        <f>IF(LEN(Table2[[#This Row],[!Unique]])&gt;0,"rg:True","rg:None")</f>
        <v>rg:None</v>
      </c>
    </row>
    <row r="325" spans="1:25" x14ac:dyDescent="0.3">
      <c r="A325" s="3" t="s">
        <v>65</v>
      </c>
      <c r="B325" s="3" t="s">
        <v>4</v>
      </c>
      <c r="C325" s="3"/>
      <c r="D325" s="3" t="s">
        <v>65</v>
      </c>
      <c r="E325" s="42" t="s">
        <v>509</v>
      </c>
      <c r="F325" s="3" t="s">
        <v>5</v>
      </c>
      <c r="G325" s="4"/>
      <c r="H325" s="4"/>
      <c r="I325" s="5" t="str">
        <f t="shared" si="19"/>
        <v>Defs</v>
      </c>
      <c r="J325" t="str">
        <f>IF(Table2[[#This Row],[!Type]]=J$1, J$1,"rg:None")</f>
        <v>rg:None</v>
      </c>
      <c r="K325" t="str">
        <f>IF(Table2[[#This Row],[!Type]]=K$1, K$1,"rg:None")</f>
        <v>rg:None</v>
      </c>
      <c r="L325" t="str">
        <f>IF(Table2[[#This Row],[!Type]]=L$1, L$1,"rg:None")</f>
        <v>rg:None</v>
      </c>
      <c r="M325" t="str">
        <f>IF(Table2[[#This Row],[!Type]]=M$1, M$1,"rg:None")</f>
        <v>rg:None</v>
      </c>
      <c r="N325" s="9" t="str">
        <f>IF(Table2[[#This Row],[!Type]]=N$1, N$1,"rg:None")</f>
        <v>rg:None</v>
      </c>
      <c r="O325" s="9"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9" t="str">
        <f>IF(LEN(Table2[[#This Row],[!Length]]) &gt; 0, Table2[[#This Row],[!Length]], "rg:None")</f>
        <v>rg:None</v>
      </c>
      <c r="U325" s="9" t="str">
        <f>IF(LEN(Table2[[#This Row],[!Name]]) &gt; 0, Table2[[#This Row],[!Name]], "rg:None")</f>
        <v>Permission</v>
      </c>
      <c r="V325"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325" s="9" t="str">
        <f>IF(LEN(Table2[[#This Row],[!FK]])&gt;0,Table2[[#This Row],[!FK]],"rg:None")</f>
        <v>rg:None</v>
      </c>
      <c r="X325" s="9" t="str">
        <f>IF(LEN(concatif2(A:A,Table2[[#This Row],[!Table]],G:G,"Y",D:D,",")) &gt; 0,"rg:[ { 'req' : '"&amp;concatif2(A:A,Table2[[#This Row],[!Table]],G:G,"Y",D:D,"' }, { 'req': '")&amp;"'} ]","rg:[]")</f>
        <v>rg:[ { 'req' : 'id' }, { 'req': 'code' }, { 'req': 'name' }, { 'req': 'description'} ]</v>
      </c>
      <c r="Y325" s="9" t="str">
        <f>IF(LEN(Table2[[#This Row],[!Unique]])&gt;0,"rg:True","rg:None")</f>
        <v>rg:None</v>
      </c>
    </row>
    <row r="326" spans="1:25" x14ac:dyDescent="0.3">
      <c r="A326" s="3" t="s">
        <v>65</v>
      </c>
      <c r="B326" s="3" t="s">
        <v>6</v>
      </c>
      <c r="C326" s="3"/>
      <c r="D326" s="3" t="s">
        <v>6</v>
      </c>
      <c r="E326" s="42" t="s">
        <v>510</v>
      </c>
      <c r="F326" s="3" t="s">
        <v>5</v>
      </c>
      <c r="G326" s="4" t="s">
        <v>70</v>
      </c>
      <c r="H326" s="4"/>
      <c r="I326" s="5" t="str">
        <f t="shared" si="19"/>
        <v>Defs</v>
      </c>
      <c r="J326" t="str">
        <f>IF(Table2[[#This Row],[!Type]]=J$1, J$1,"rg:None")</f>
        <v>rg:None</v>
      </c>
      <c r="K326" t="str">
        <f>IF(Table2[[#This Row],[!Type]]=K$1, K$1,"rg:None")</f>
        <v>rg:None</v>
      </c>
      <c r="L326" t="str">
        <f>IF(Table2[[#This Row],[!Type]]=L$1, L$1,"rg:None")</f>
        <v>rg:None</v>
      </c>
      <c r="M326" t="str">
        <f>IF(Table2[[#This Row],[!Type]]=M$1, M$1,"rg:None")</f>
        <v>id</v>
      </c>
      <c r="N326" s="9" t="str">
        <f>IF(Table2[[#This Row],[!Type]]=N$1, N$1,"rg:None")</f>
        <v>rg:None</v>
      </c>
      <c r="O326" s="9"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9" t="str">
        <f>IF(LEN(Table2[[#This Row],[!Length]]) &gt; 0, Table2[[#This Row],[!Length]], "rg:None")</f>
        <v>rg:None</v>
      </c>
      <c r="U326" s="9" t="str">
        <f>IF(LEN(Table2[[#This Row],[!Name]]) &gt; 0, Table2[[#This Row],[!Name]], "rg:None")</f>
        <v>id</v>
      </c>
      <c r="V326" s="9" t="str">
        <f>IF(LEN(Table2[[#This Row],[!Description]]) &gt; 0, Table2[[#This Row],[!Description]], "rg:None")</f>
        <v>A system-generated unique identifier for a Permission</v>
      </c>
      <c r="W326" s="9" t="str">
        <f>IF(LEN(Table2[[#This Row],[!FK]])&gt;0,Table2[[#This Row],[!FK]],"rg:None")</f>
        <v>rg:None</v>
      </c>
      <c r="X326" s="9" t="str">
        <f>IF(LEN(concatif2(A:A,Table2[[#This Row],[!Table]],G:G,"Y",D:D,",")) &gt; 0,"rg:[ { 'req' : '"&amp;concatif2(A:A,Table2[[#This Row],[!Table]],G:G,"Y",D:D,"' }, { 'req': '")&amp;"'} ]","rg:[]")</f>
        <v>rg:[ { 'req' : 'id' }, { 'req': 'code' }, { 'req': 'name' }, { 'req': 'description'} ]</v>
      </c>
      <c r="Y326" s="9" t="str">
        <f>IF(LEN(Table2[[#This Row],[!Unique]])&gt;0,"rg:True","rg:None")</f>
        <v>rg:None</v>
      </c>
    </row>
    <row r="327" spans="1:25" x14ac:dyDescent="0.3">
      <c r="A327" s="3" t="s">
        <v>65</v>
      </c>
      <c r="B327" s="3" t="s">
        <v>7</v>
      </c>
      <c r="C327" s="3">
        <v>255</v>
      </c>
      <c r="D327" s="3" t="s">
        <v>66</v>
      </c>
      <c r="E327" s="42" t="s">
        <v>511</v>
      </c>
      <c r="F327" s="3" t="s">
        <v>5</v>
      </c>
      <c r="G327" s="4" t="s">
        <v>70</v>
      </c>
      <c r="H327" s="4"/>
      <c r="I327" s="5" t="str">
        <f t="shared" si="19"/>
        <v>Defs</v>
      </c>
      <c r="J327" t="str">
        <f>IF(Table2[[#This Row],[!Type]]=J$1, J$1,"rg:None")</f>
        <v>rg:None</v>
      </c>
      <c r="K327" t="str">
        <f>IF(Table2[[#This Row],[!Type]]=K$1, K$1,"rg:None")</f>
        <v>rg:None</v>
      </c>
      <c r="L327" t="str">
        <f>IF(Table2[[#This Row],[!Type]]=L$1, L$1,"rg:None")</f>
        <v>rg:None</v>
      </c>
      <c r="M327" t="str">
        <f>IF(Table2[[#This Row],[!Type]]=M$1, M$1,"rg:None")</f>
        <v>rg:None</v>
      </c>
      <c r="N327" s="9" t="str">
        <f>IF(Table2[[#This Row],[!Type]]=N$1, N$1,"rg:None")</f>
        <v>rg:None</v>
      </c>
      <c r="O327" s="9"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9">
        <f>IF(LEN(Table2[[#This Row],[!Length]]) &gt; 0, Table2[[#This Row],[!Length]], "rg:None")</f>
        <v>255</v>
      </c>
      <c r="U327" s="9" t="str">
        <f>IF(LEN(Table2[[#This Row],[!Name]]) &gt; 0, Table2[[#This Row],[!Name]], "rg:None")</f>
        <v>code</v>
      </c>
      <c r="V327" s="9" t="str">
        <f>IF(LEN(Table2[[#This Row],[!Description]]) &gt; 0, Table2[[#This Row],[!Description]], "rg:None")</f>
        <v>The name of the permission referenced in the software of the application.</v>
      </c>
      <c r="W327" s="9" t="str">
        <f>IF(LEN(Table2[[#This Row],[!FK]])&gt;0,Table2[[#This Row],[!FK]],"rg:None")</f>
        <v>rg:None</v>
      </c>
      <c r="X327" s="9" t="str">
        <f>IF(LEN(concatif2(A:A,Table2[[#This Row],[!Table]],G:G,"Y",D:D,",")) &gt; 0,"rg:[ { 'req' : '"&amp;concatif2(A:A,Table2[[#This Row],[!Table]],G:G,"Y",D:D,"' }, { 'req': '")&amp;"'} ]","rg:[]")</f>
        <v>rg:[ { 'req' : 'id' }, { 'req': 'code' }, { 'req': 'name' }, { 'req': 'description'} ]</v>
      </c>
      <c r="Y327" s="9" t="str">
        <f>IF(LEN(Table2[[#This Row],[!Unique]])&gt;0,"rg:True","rg:None")</f>
        <v>rg:None</v>
      </c>
    </row>
    <row r="328" spans="1:25" x14ac:dyDescent="0.3">
      <c r="A328" s="3" t="s">
        <v>65</v>
      </c>
      <c r="B328" s="3" t="s">
        <v>7</v>
      </c>
      <c r="C328" s="3">
        <v>255</v>
      </c>
      <c r="D328" s="3" t="s">
        <v>15</v>
      </c>
      <c r="E328" s="42" t="s">
        <v>512</v>
      </c>
      <c r="F328" s="3" t="s">
        <v>5</v>
      </c>
      <c r="G328" s="4" t="s">
        <v>70</v>
      </c>
      <c r="H328" s="4"/>
      <c r="I328" s="5" t="str">
        <f t="shared" si="19"/>
        <v>Defs</v>
      </c>
      <c r="J328" t="str">
        <f>IF(Table2[[#This Row],[!Type]]=J$1, J$1,"rg:None")</f>
        <v>rg:None</v>
      </c>
      <c r="K328" t="str">
        <f>IF(Table2[[#This Row],[!Type]]=K$1, K$1,"rg:None")</f>
        <v>rg:None</v>
      </c>
      <c r="L328" t="str">
        <f>IF(Table2[[#This Row],[!Type]]=L$1, L$1,"rg:None")</f>
        <v>rg:None</v>
      </c>
      <c r="M328" t="str">
        <f>IF(Table2[[#This Row],[!Type]]=M$1, M$1,"rg:None")</f>
        <v>rg:None</v>
      </c>
      <c r="N328" s="9" t="str">
        <f>IF(Table2[[#This Row],[!Type]]=N$1, N$1,"rg:None")</f>
        <v>rg:None</v>
      </c>
      <c r="O328" s="9"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9">
        <f>IF(LEN(Table2[[#This Row],[!Length]]) &gt; 0, Table2[[#This Row],[!Length]], "rg:None")</f>
        <v>255</v>
      </c>
      <c r="U328" s="9" t="str">
        <f>IF(LEN(Table2[[#This Row],[!Name]]) &gt; 0, Table2[[#This Row],[!Name]], "rg:None")</f>
        <v>name</v>
      </c>
      <c r="V328" s="9" t="str">
        <f>IF(LEN(Table2[[#This Row],[!Description]]) &gt; 0, Table2[[#This Row],[!Description]], "rg:None")</f>
        <v>The 'user friendly' name of the permission exposed to the user selecting the permissions to be included in a Role.</v>
      </c>
      <c r="W328" s="9" t="str">
        <f>IF(LEN(Table2[[#This Row],[!FK]])&gt;0,Table2[[#This Row],[!FK]],"rg:None")</f>
        <v>rg:None</v>
      </c>
      <c r="X328" s="9" t="str">
        <f>IF(LEN(concatif2(A:A,Table2[[#This Row],[!Table]],G:G,"Y",D:D,",")) &gt; 0,"rg:[ { 'req' : '"&amp;concatif2(A:A,Table2[[#This Row],[!Table]],G:G,"Y",D:D,"' }, { 'req': '")&amp;"'} ]","rg:[]")</f>
        <v>rg:[ { 'req' : 'id' }, { 'req': 'code' }, { 'req': 'name' }, { 'req': 'description'} ]</v>
      </c>
      <c r="Y328" s="9" t="str">
        <f>IF(LEN(Table2[[#This Row],[!Unique]])&gt;0,"rg:True","rg:None")</f>
        <v>rg:None</v>
      </c>
    </row>
    <row r="329" spans="1:25" x14ac:dyDescent="0.3">
      <c r="A329" s="3" t="s">
        <v>65</v>
      </c>
      <c r="B329" s="3" t="s">
        <v>7</v>
      </c>
      <c r="C329" s="3">
        <v>255</v>
      </c>
      <c r="D329" s="3" t="s">
        <v>14</v>
      </c>
      <c r="E329" s="42" t="s">
        <v>513</v>
      </c>
      <c r="F329" s="3" t="s">
        <v>5</v>
      </c>
      <c r="G329" s="4" t="s">
        <v>70</v>
      </c>
      <c r="H329" s="4"/>
      <c r="I329" s="5" t="str">
        <f t="shared" si="19"/>
        <v>Defs</v>
      </c>
      <c r="J329" t="str">
        <f>IF(Table2[[#This Row],[!Type]]=J$1, J$1,"rg:None")</f>
        <v>rg:None</v>
      </c>
      <c r="K329" t="str">
        <f>IF(Table2[[#This Row],[!Type]]=K$1, K$1,"rg:None")</f>
        <v>rg:None</v>
      </c>
      <c r="L329" t="str">
        <f>IF(Table2[[#This Row],[!Type]]=L$1, L$1,"rg:None")</f>
        <v>rg:None</v>
      </c>
      <c r="M329" t="str">
        <f>IF(Table2[[#This Row],[!Type]]=M$1, M$1,"rg:None")</f>
        <v>rg:None</v>
      </c>
      <c r="N329" s="9" t="str">
        <f>IF(Table2[[#This Row],[!Type]]=N$1, N$1,"rg:None")</f>
        <v>rg:None</v>
      </c>
      <c r="O329" s="9"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9">
        <f>IF(LEN(Table2[[#This Row],[!Length]]) &gt; 0, Table2[[#This Row],[!Length]], "rg:None")</f>
        <v>255</v>
      </c>
      <c r="U329" s="9" t="str">
        <f>IF(LEN(Table2[[#This Row],[!Name]]) &gt; 0, Table2[[#This Row],[!Name]], "rg:None")</f>
        <v>description</v>
      </c>
      <c r="V329" s="9" t="str">
        <f>IF(LEN(Table2[[#This Row],[!Description]]) &gt; 0, Table2[[#This Row],[!Description]], "rg:None")</f>
        <v>A description of the purpose of the permission and exposed to the user selecting the permissions to be included in a Role.</v>
      </c>
      <c r="W329" s="9" t="str">
        <f>IF(LEN(Table2[[#This Row],[!FK]])&gt;0,Table2[[#This Row],[!FK]],"rg:None")</f>
        <v>rg:None</v>
      </c>
      <c r="X329" s="9" t="str">
        <f>IF(LEN(concatif2(A:A,Table2[[#This Row],[!Table]],G:G,"Y",D:D,",")) &gt; 0,"rg:[ { 'req' : '"&amp;concatif2(A:A,Table2[[#This Row],[!Table]],G:G,"Y",D:D,"' }, { 'req': '")&amp;"'} ]","rg:[]")</f>
        <v>rg:[ { 'req' : 'id' }, { 'req': 'code' }, { 'req': 'name' }, { 'req': 'description'} ]</v>
      </c>
      <c r="Y329" s="9" t="str">
        <f>IF(LEN(Table2[[#This Row],[!Unique]])&gt;0,"rg:True","rg:None")</f>
        <v>rg:None</v>
      </c>
    </row>
    <row r="330" spans="1:25" x14ac:dyDescent="0.3">
      <c r="A330" s="3" t="s">
        <v>67</v>
      </c>
      <c r="B330" s="3" t="s">
        <v>4</v>
      </c>
      <c r="C330" s="3"/>
      <c r="D330" s="3" t="s">
        <v>67</v>
      </c>
      <c r="E330" s="42" t="s">
        <v>514</v>
      </c>
      <c r="F330" s="3" t="s">
        <v>5</v>
      </c>
      <c r="G330" s="4"/>
      <c r="H330" s="4"/>
      <c r="I330" s="5" t="str">
        <f t="shared" si="19"/>
        <v>Defs</v>
      </c>
      <c r="J330" t="str">
        <f>IF(Table2[[#This Row],[!Type]]=J$1, J$1,"rg:None")</f>
        <v>rg:None</v>
      </c>
      <c r="K330" t="str">
        <f>IF(Table2[[#This Row],[!Type]]=K$1, K$1,"rg:None")</f>
        <v>rg:None</v>
      </c>
      <c r="L330" t="str">
        <f>IF(Table2[[#This Row],[!Type]]=L$1, L$1,"rg:None")</f>
        <v>rg:None</v>
      </c>
      <c r="M330" t="str">
        <f>IF(Table2[[#This Row],[!Type]]=M$1, M$1,"rg:None")</f>
        <v>rg:None</v>
      </c>
      <c r="N330" s="9" t="str">
        <f>IF(Table2[[#This Row],[!Type]]=N$1, N$1,"rg:None")</f>
        <v>rg:None</v>
      </c>
      <c r="O330" s="9"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9" t="str">
        <f>IF(LEN(Table2[[#This Row],[!Length]]) &gt; 0, Table2[[#This Row],[!Length]], "rg:None")</f>
        <v>rg:None</v>
      </c>
      <c r="U330" s="9" t="str">
        <f>IF(LEN(Table2[[#This Row],[!Name]]) &gt; 0, Table2[[#This Row],[!Name]], "rg:None")</f>
        <v>GroupMembership</v>
      </c>
      <c r="V330" s="9" t="str">
        <f>IF(LEN(Table2[[#This Row],[!Description]]) &gt; 0, Table2[[#This Row],[!Description]], "rg:None")</f>
        <v>The users associated with a given group that has been defined in the application.</v>
      </c>
      <c r="W330" s="9" t="str">
        <f>IF(LEN(Table2[[#This Row],[!FK]])&gt;0,Table2[[#This Row],[!FK]],"rg:None")</f>
        <v>rg:None</v>
      </c>
      <c r="X330" s="9" t="str">
        <f>IF(LEN(concatif2(A:A,Table2[[#This Row],[!Table]],G:G,"Y",D:D,",")) &gt; 0,"rg:[ { 'req' : '"&amp;concatif2(A:A,Table2[[#This Row],[!Table]],G:G,"Y",D:D,"' }, { 'req': '")&amp;"'} ]","rg:[]")</f>
        <v>rg:[ { 'req' : 'id' }, { 'req': 'active'} ]</v>
      </c>
      <c r="Y330" s="9" t="str">
        <f>IF(LEN(Table2[[#This Row],[!Unique]])&gt;0,"rg:True","rg:None")</f>
        <v>rg:None</v>
      </c>
    </row>
    <row r="331" spans="1:25" x14ac:dyDescent="0.3">
      <c r="A331" s="3" t="s">
        <v>67</v>
      </c>
      <c r="B331" s="3" t="s">
        <v>6</v>
      </c>
      <c r="C331" s="3"/>
      <c r="D331" s="3" t="s">
        <v>6</v>
      </c>
      <c r="E331" s="42" t="s">
        <v>515</v>
      </c>
      <c r="F331" s="3" t="s">
        <v>5</v>
      </c>
      <c r="G331" s="4" t="s">
        <v>70</v>
      </c>
      <c r="H331" s="4"/>
      <c r="I331" s="5" t="str">
        <f t="shared" si="19"/>
        <v>Defs</v>
      </c>
      <c r="J331" t="str">
        <f>IF(Table2[[#This Row],[!Type]]=J$1, J$1,"rg:None")</f>
        <v>rg:None</v>
      </c>
      <c r="K331" t="str">
        <f>IF(Table2[[#This Row],[!Type]]=K$1, K$1,"rg:None")</f>
        <v>rg:None</v>
      </c>
      <c r="L331" t="str">
        <f>IF(Table2[[#This Row],[!Type]]=L$1, L$1,"rg:None")</f>
        <v>rg:None</v>
      </c>
      <c r="M331" t="str">
        <f>IF(Table2[[#This Row],[!Type]]=M$1, M$1,"rg:None")</f>
        <v>id</v>
      </c>
      <c r="N331" s="9" t="str">
        <f>IF(Table2[[#This Row],[!Type]]=N$1, N$1,"rg:None")</f>
        <v>rg:None</v>
      </c>
      <c r="O331" s="9"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9" t="str">
        <f>IF(LEN(Table2[[#This Row],[!Length]]) &gt; 0, Table2[[#This Row],[!Length]], "rg:None")</f>
        <v>rg:None</v>
      </c>
      <c r="U331" s="9" t="str">
        <f>IF(LEN(Table2[[#This Row],[!Name]]) &gt; 0, Table2[[#This Row],[!Name]], "rg:None")</f>
        <v>id</v>
      </c>
      <c r="V331" s="9" t="str">
        <f>IF(LEN(Table2[[#This Row],[!Description]]) &gt; 0, Table2[[#This Row],[!Description]], "rg:None")</f>
        <v>A system-generated unique identifier for a GroupMembership</v>
      </c>
      <c r="W331" s="9" t="str">
        <f>IF(LEN(Table2[[#This Row],[!FK]])&gt;0,Table2[[#This Row],[!FK]],"rg:None")</f>
        <v>rg:None</v>
      </c>
      <c r="X331" s="9" t="str">
        <f>IF(LEN(concatif2(A:A,Table2[[#This Row],[!Table]],G:G,"Y",D:D,",")) &gt; 0,"rg:[ { 'req' : '"&amp;concatif2(A:A,Table2[[#This Row],[!Table]],G:G,"Y",D:D,"' }, { 'req': '")&amp;"'} ]","rg:[]")</f>
        <v>rg:[ { 'req' : 'id' }, { 'req': 'active'} ]</v>
      </c>
      <c r="Y331" s="9" t="str">
        <f>IF(LEN(Table2[[#This Row],[!Unique]])&gt;0,"rg:True","rg:None")</f>
        <v>rg:None</v>
      </c>
    </row>
    <row r="332" spans="1:25" x14ac:dyDescent="0.3">
      <c r="A332" s="3" t="s">
        <v>67</v>
      </c>
      <c r="B332" s="3" t="s">
        <v>9</v>
      </c>
      <c r="C332" s="3"/>
      <c r="D332" s="3" t="s">
        <v>49</v>
      </c>
      <c r="E332" s="42" t="s">
        <v>516</v>
      </c>
      <c r="F332" s="3" t="s">
        <v>5</v>
      </c>
      <c r="G332" s="4" t="s">
        <v>70</v>
      </c>
      <c r="H332" s="4"/>
      <c r="I332" s="5" t="str">
        <f t="shared" si="19"/>
        <v>Defs</v>
      </c>
      <c r="J332" t="str">
        <f>IF(Table2[[#This Row],[!Type]]=J$1, J$1,"rg:None")</f>
        <v>boolean</v>
      </c>
      <c r="K332" t="str">
        <f>IF(Table2[[#This Row],[!Type]]=K$1, K$1,"rg:None")</f>
        <v>rg:None</v>
      </c>
      <c r="L332" t="str">
        <f>IF(Table2[[#This Row],[!Type]]=L$1, L$1,"rg:None")</f>
        <v>rg:None</v>
      </c>
      <c r="M332" t="str">
        <f>IF(Table2[[#This Row],[!Type]]=M$1, M$1,"rg:None")</f>
        <v>rg:None</v>
      </c>
      <c r="N332" s="9" t="str">
        <f>IF(Table2[[#This Row],[!Type]]=N$1, N$1,"rg:None")</f>
        <v>rg:None</v>
      </c>
      <c r="O332" s="9"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9" t="str">
        <f>IF(LEN(Table2[[#This Row],[!Length]]) &gt; 0, Table2[[#This Row],[!Length]], "rg:None")</f>
        <v>rg:None</v>
      </c>
      <c r="U332" s="9" t="str">
        <f>IF(LEN(Table2[[#This Row],[!Name]]) &gt; 0, Table2[[#This Row],[!Name]], "rg:None")</f>
        <v>active</v>
      </c>
      <c r="V332" s="9" t="str">
        <f>IF(LEN(Table2[[#This Row],[!Description]]) &gt; 0, Table2[[#This Row],[!Description]], "rg:None")</f>
        <v>A flag indicating the User is active in the group. Set false to remove the user from the designated group.</v>
      </c>
      <c r="W332" s="9" t="str">
        <f>IF(LEN(Table2[[#This Row],[!FK]])&gt;0,Table2[[#This Row],[!FK]],"rg:None")</f>
        <v>rg:None</v>
      </c>
      <c r="X332" s="9" t="str">
        <f>IF(LEN(concatif2(A:A,Table2[[#This Row],[!Table]],G:G,"Y",D:D,",")) &gt; 0,"rg:[ { 'req' : '"&amp;concatif2(A:A,Table2[[#This Row],[!Table]],G:G,"Y",D:D,"' }, { 'req': '")&amp;"'} ]","rg:[]")</f>
        <v>rg:[ { 'req' : 'id' }, { 'req': 'active'} ]</v>
      </c>
      <c r="Y332" s="9" t="str">
        <f>IF(LEN(Table2[[#This Row],[!Unique]])&gt;0,"rg:True","rg:None")</f>
        <v>rg:None</v>
      </c>
    </row>
    <row r="333" spans="1:25" x14ac:dyDescent="0.3">
      <c r="A333" s="3" t="s">
        <v>67</v>
      </c>
      <c r="B333" s="3" t="s">
        <v>8</v>
      </c>
      <c r="C333" s="3"/>
      <c r="D333" s="3" t="s">
        <v>68</v>
      </c>
      <c r="E333" s="42"/>
      <c r="F333" s="3" t="s">
        <v>69</v>
      </c>
      <c r="G333" s="4"/>
      <c r="H333" s="4"/>
      <c r="I333" s="5" t="str">
        <f t="shared" si="19"/>
        <v>Defs</v>
      </c>
      <c r="J333" t="str">
        <f>IF(Table2[[#This Row],[!Type]]=J$1, J$1,"rg:None")</f>
        <v>rg:None</v>
      </c>
      <c r="K333" t="str">
        <f>IF(Table2[[#This Row],[!Type]]=K$1, K$1,"rg:None")</f>
        <v>rg:None</v>
      </c>
      <c r="L333" t="str">
        <f>IF(Table2[[#This Row],[!Type]]=L$1, L$1,"rg:None")</f>
        <v>rg:None</v>
      </c>
      <c r="M333" t="str">
        <f>IF(Table2[[#This Row],[!Type]]=M$1, M$1,"rg:None")</f>
        <v>rg:None</v>
      </c>
      <c r="N333" s="9" t="str">
        <f>IF(Table2[[#This Row],[!Type]]=N$1, N$1,"rg:None")</f>
        <v>rg:None</v>
      </c>
      <c r="O333" s="9"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9" t="str">
        <f>IF(LEN(Table2[[#This Row],[!Length]]) &gt; 0, Table2[[#This Row],[!Length]], "rg:None")</f>
        <v>rg:None</v>
      </c>
      <c r="U333" s="9" t="str">
        <f>IF(LEN(Table2[[#This Row],[!Name]]) &gt; 0, Table2[[#This Row],[!Name]], "rg:None")</f>
        <v>group</v>
      </c>
      <c r="V333" s="9" t="str">
        <f>IF(LEN(Table2[[#This Row],[!Description]]) &gt; 0, Table2[[#This Row],[!Description]], "rg:None")</f>
        <v>rg:None</v>
      </c>
      <c r="W333" s="9" t="str">
        <f>IF(LEN(Table2[[#This Row],[!FK]])&gt;0,Table2[[#This Row],[!FK]],"rg:None")</f>
        <v>Group</v>
      </c>
      <c r="X333" s="9" t="str">
        <f>IF(LEN(concatif2(A:A,Table2[[#This Row],[!Table]],G:G,"Y",D:D,",")) &gt; 0,"rg:[ { 'req' : '"&amp;concatif2(A:A,Table2[[#This Row],[!Table]],G:G,"Y",D:D,"' }, { 'req': '")&amp;"'} ]","rg:[]")</f>
        <v>rg:[ { 'req' : 'id' }, { 'req': 'active'} ]</v>
      </c>
      <c r="Y333" s="9" t="str">
        <f>IF(LEN(Table2[[#This Row],[!Unique]])&gt;0,"rg:True","rg:None")</f>
        <v>rg:None</v>
      </c>
    </row>
    <row r="334" spans="1:25" x14ac:dyDescent="0.3">
      <c r="A334" s="3" t="s">
        <v>67</v>
      </c>
      <c r="B334" s="3" t="s">
        <v>8</v>
      </c>
      <c r="C334" s="3"/>
      <c r="D334" s="3" t="s">
        <v>48</v>
      </c>
      <c r="E334" s="42"/>
      <c r="F334" s="3" t="s">
        <v>0</v>
      </c>
      <c r="G334" s="4"/>
      <c r="H334" s="4"/>
      <c r="I334" s="5" t="str">
        <f t="shared" si="19"/>
        <v>Defs</v>
      </c>
      <c r="J334" t="str">
        <f>IF(Table2[[#This Row],[!Type]]=J$1, J$1,"rg:None")</f>
        <v>rg:None</v>
      </c>
      <c r="K334" t="str">
        <f>IF(Table2[[#This Row],[!Type]]=K$1, K$1,"rg:None")</f>
        <v>rg:None</v>
      </c>
      <c r="L334" t="str">
        <f>IF(Table2[[#This Row],[!Type]]=L$1, L$1,"rg:None")</f>
        <v>rg:None</v>
      </c>
      <c r="M334" t="str">
        <f>IF(Table2[[#This Row],[!Type]]=M$1, M$1,"rg:None")</f>
        <v>rg:None</v>
      </c>
      <c r="N334" s="9" t="str">
        <f>IF(Table2[[#This Row],[!Type]]=N$1, N$1,"rg:None")</f>
        <v>rg:None</v>
      </c>
      <c r="O334" s="9"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9" t="str">
        <f>IF(LEN(Table2[[#This Row],[!Length]]) &gt; 0, Table2[[#This Row],[!Length]], "rg:None")</f>
        <v>rg:None</v>
      </c>
      <c r="U334" s="9" t="str">
        <f>IF(LEN(Table2[[#This Row],[!Name]]) &gt; 0, Table2[[#This Row],[!Name]], "rg:None")</f>
        <v>user</v>
      </c>
      <c r="V334" s="9" t="str">
        <f>IF(LEN(Table2[[#This Row],[!Description]]) &gt; 0, Table2[[#This Row],[!Description]], "rg:None")</f>
        <v>rg:None</v>
      </c>
      <c r="W334" s="9" t="str">
        <f>IF(LEN(Table2[[#This Row],[!FK]])&gt;0,Table2[[#This Row],[!FK]],"rg:None")</f>
        <v>User</v>
      </c>
      <c r="X334" s="9" t="str">
        <f>IF(LEN(concatif2(A:A,Table2[[#This Row],[!Table]],G:G,"Y",D:D,",")) &gt; 0,"rg:[ { 'req' : '"&amp;concatif2(A:A,Table2[[#This Row],[!Table]],G:G,"Y",D:D,"' }, { 'req': '")&amp;"'} ]","rg:[]")</f>
        <v>rg:[ { 'req' : 'id' }, { 'req': 'active'} ]</v>
      </c>
      <c r="Y334" s="9" t="str">
        <f>IF(LEN(Table2[[#This Row],[!Unique]])&gt;0,"rg:True","rg:None")</f>
        <v>rg:None</v>
      </c>
    </row>
    <row r="335" spans="1:25" x14ac:dyDescent="0.3">
      <c r="A335" s="3" t="s">
        <v>69</v>
      </c>
      <c r="B335" s="3" t="s">
        <v>4</v>
      </c>
      <c r="C335" s="3"/>
      <c r="D335" s="3" t="s">
        <v>69</v>
      </c>
      <c r="E335" s="42" t="s">
        <v>517</v>
      </c>
      <c r="F335" s="3" t="s">
        <v>5</v>
      </c>
      <c r="G335" s="4"/>
      <c r="H335" s="4"/>
      <c r="I335" s="5" t="str">
        <f t="shared" si="19"/>
        <v>Defs</v>
      </c>
      <c r="J335" t="str">
        <f>IF(Table2[[#This Row],[!Type]]=J$1, J$1,"rg:None")</f>
        <v>rg:None</v>
      </c>
      <c r="K335" t="str">
        <f>IF(Table2[[#This Row],[!Type]]=K$1, K$1,"rg:None")</f>
        <v>rg:None</v>
      </c>
      <c r="L335" t="str">
        <f>IF(Table2[[#This Row],[!Type]]=L$1, L$1,"rg:None")</f>
        <v>rg:None</v>
      </c>
      <c r="M335" t="str">
        <f>IF(Table2[[#This Row],[!Type]]=M$1, M$1,"rg:None")</f>
        <v>rg:None</v>
      </c>
      <c r="N335" s="9" t="str">
        <f>IF(Table2[[#This Row],[!Type]]=N$1, N$1,"rg:None")</f>
        <v>rg:None</v>
      </c>
      <c r="O335" s="9"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9" t="str">
        <f>IF(LEN(Table2[[#This Row],[!Length]]) &gt; 0, Table2[[#This Row],[!Length]], "rg:None")</f>
        <v>rg:None</v>
      </c>
      <c r="U335" s="9" t="str">
        <f>IF(LEN(Table2[[#This Row],[!Name]]) &gt; 0, Table2[[#This Row],[!Name]], "rg:None")</f>
        <v>Group</v>
      </c>
      <c r="V335"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335" s="9" t="str">
        <f>IF(LEN(Table2[[#This Row],[!FK]])&gt;0,Table2[[#This Row],[!FK]],"rg:None")</f>
        <v>rg:None</v>
      </c>
      <c r="X335" s="9" t="str">
        <f>IF(LEN(concatif2(A:A,Table2[[#This Row],[!Table]],G:G,"Y",D:D,",")) &gt; 0,"rg:[ { 'req' : '"&amp;concatif2(A:A,Table2[[#This Row],[!Table]],G:G,"Y",D:D,"' }, { 'req': '")&amp;"'} ]","rg:[]")</f>
        <v>rg:[ { 'req' : 'id' }, { 'req': 'name' }, { 'req': 'description'} ]</v>
      </c>
      <c r="Y335" s="9" t="str">
        <f>IF(LEN(Table2[[#This Row],[!Unique]])&gt;0,"rg:True","rg:None")</f>
        <v>rg:None</v>
      </c>
    </row>
    <row r="336" spans="1:25" x14ac:dyDescent="0.3">
      <c r="A336" s="3" t="s">
        <v>69</v>
      </c>
      <c r="B336" s="3" t="s">
        <v>6</v>
      </c>
      <c r="C336" s="3"/>
      <c r="D336" s="3" t="s">
        <v>6</v>
      </c>
      <c r="E336" s="42" t="s">
        <v>518</v>
      </c>
      <c r="F336" s="3" t="s">
        <v>5</v>
      </c>
      <c r="G336" s="4" t="s">
        <v>70</v>
      </c>
      <c r="H336" s="4"/>
      <c r="I336" s="5" t="str">
        <f t="shared" si="19"/>
        <v>Defs</v>
      </c>
      <c r="J336" t="str">
        <f>IF(Table2[[#This Row],[!Type]]=J$1, J$1,"rg:None")</f>
        <v>rg:None</v>
      </c>
      <c r="K336" t="str">
        <f>IF(Table2[[#This Row],[!Type]]=K$1, K$1,"rg:None")</f>
        <v>rg:None</v>
      </c>
      <c r="L336" t="str">
        <f>IF(Table2[[#This Row],[!Type]]=L$1, L$1,"rg:None")</f>
        <v>rg:None</v>
      </c>
      <c r="M336" t="str">
        <f>IF(Table2[[#This Row],[!Type]]=M$1, M$1,"rg:None")</f>
        <v>id</v>
      </c>
      <c r="N336" s="9" t="str">
        <f>IF(Table2[[#This Row],[!Type]]=N$1, N$1,"rg:None")</f>
        <v>rg:None</v>
      </c>
      <c r="O336" s="9"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9" t="str">
        <f>IF(LEN(Table2[[#This Row],[!Length]]) &gt; 0, Table2[[#This Row],[!Length]], "rg:None")</f>
        <v>rg:None</v>
      </c>
      <c r="U336" s="9" t="str">
        <f>IF(LEN(Table2[[#This Row],[!Name]]) &gt; 0, Table2[[#This Row],[!Name]], "rg:None")</f>
        <v>id</v>
      </c>
      <c r="V336" s="9" t="str">
        <f>IF(LEN(Table2[[#This Row],[!Description]]) &gt; 0, Table2[[#This Row],[!Description]], "rg:None")</f>
        <v>A system-generated unique identifier for a Group</v>
      </c>
      <c r="W336" s="9" t="str">
        <f>IF(LEN(Table2[[#This Row],[!FK]])&gt;0,Table2[[#This Row],[!FK]],"rg:None")</f>
        <v>rg:None</v>
      </c>
      <c r="X336" s="9" t="str">
        <f>IF(LEN(concatif2(A:A,Table2[[#This Row],[!Table]],G:G,"Y",D:D,",")) &gt; 0,"rg:[ { 'req' : '"&amp;concatif2(A:A,Table2[[#This Row],[!Table]],G:G,"Y",D:D,"' }, { 'req': '")&amp;"'} ]","rg:[]")</f>
        <v>rg:[ { 'req' : 'id' }, { 'req': 'name' }, { 'req': 'description'} ]</v>
      </c>
      <c r="Y336" s="9" t="str">
        <f>IF(LEN(Table2[[#This Row],[!Unique]])&gt;0,"rg:True","rg:None")</f>
        <v>rg:None</v>
      </c>
    </row>
    <row r="337" spans="1:25" x14ac:dyDescent="0.3">
      <c r="A337" s="3" t="s">
        <v>69</v>
      </c>
      <c r="B337" s="3" t="s">
        <v>7</v>
      </c>
      <c r="C337" s="3">
        <v>255</v>
      </c>
      <c r="D337" s="3" t="s">
        <v>15</v>
      </c>
      <c r="E337" s="42" t="s">
        <v>519</v>
      </c>
      <c r="F337" s="3" t="s">
        <v>5</v>
      </c>
      <c r="G337" s="4" t="s">
        <v>70</v>
      </c>
      <c r="H337" s="4"/>
      <c r="I337" s="5" t="str">
        <f t="shared" si="19"/>
        <v>Defs</v>
      </c>
      <c r="J337" t="str">
        <f>IF(Table2[[#This Row],[!Type]]=J$1, J$1,"rg:None")</f>
        <v>rg:None</v>
      </c>
      <c r="K337" t="str">
        <f>IF(Table2[[#This Row],[!Type]]=K$1, K$1,"rg:None")</f>
        <v>rg:None</v>
      </c>
      <c r="L337" t="str">
        <f>IF(Table2[[#This Row],[!Type]]=L$1, L$1,"rg:None")</f>
        <v>rg:None</v>
      </c>
      <c r="M337" t="str">
        <f>IF(Table2[[#This Row],[!Type]]=M$1, M$1,"rg:None")</f>
        <v>rg:None</v>
      </c>
      <c r="N337" s="9" t="str">
        <f>IF(Table2[[#This Row],[!Type]]=N$1, N$1,"rg:None")</f>
        <v>rg:None</v>
      </c>
      <c r="O337" s="9"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9">
        <f>IF(LEN(Table2[[#This Row],[!Length]]) &gt; 0, Table2[[#This Row],[!Length]], "rg:None")</f>
        <v>255</v>
      </c>
      <c r="U337" s="9" t="str">
        <f>IF(LEN(Table2[[#This Row],[!Name]]) &gt; 0, Table2[[#This Row],[!Name]], "rg:None")</f>
        <v>name</v>
      </c>
      <c r="V337" s="9" t="str">
        <f>IF(LEN(Table2[[#This Row],[!Description]]) &gt; 0, Table2[[#This Row],[!Description]], "rg:None")</f>
        <v>The name of the group, as refenced in the code.</v>
      </c>
      <c r="W337" s="9" t="str">
        <f>IF(LEN(Table2[[#This Row],[!FK]])&gt;0,Table2[[#This Row],[!FK]],"rg:None")</f>
        <v>rg:None</v>
      </c>
      <c r="X337" s="9" t="str">
        <f>IF(LEN(concatif2(A:A,Table2[[#This Row],[!Table]],G:G,"Y",D:D,",")) &gt; 0,"rg:[ { 'req' : '"&amp;concatif2(A:A,Table2[[#This Row],[!Table]],G:G,"Y",D:D,"' }, { 'req': '")&amp;"'} ]","rg:[]")</f>
        <v>rg:[ { 'req' : 'id' }, { 'req': 'name' }, { 'req': 'description'} ]</v>
      </c>
      <c r="Y337" s="9" t="str">
        <f>IF(LEN(Table2[[#This Row],[!Unique]])&gt;0,"rg:True","rg:None")</f>
        <v>rg:None</v>
      </c>
    </row>
    <row r="338" spans="1:25" x14ac:dyDescent="0.3">
      <c r="A338" s="3" t="s">
        <v>69</v>
      </c>
      <c r="B338" s="3" t="s">
        <v>7</v>
      </c>
      <c r="C338" s="3">
        <v>255</v>
      </c>
      <c r="D338" s="3" t="s">
        <v>14</v>
      </c>
      <c r="E338" s="42" t="s">
        <v>520</v>
      </c>
      <c r="F338" s="3" t="s">
        <v>5</v>
      </c>
      <c r="G338" s="4" t="s">
        <v>70</v>
      </c>
      <c r="H338" s="4"/>
      <c r="I338" s="5" t="str">
        <f t="shared" si="19"/>
        <v>Defs</v>
      </c>
      <c r="J338" t="str">
        <f>IF(Table2[[#This Row],[!Type]]=J$1, J$1,"rg:None")</f>
        <v>rg:None</v>
      </c>
      <c r="K338" t="str">
        <f>IF(Table2[[#This Row],[!Type]]=K$1, K$1,"rg:None")</f>
        <v>rg:None</v>
      </c>
      <c r="L338" t="str">
        <f>IF(Table2[[#This Row],[!Type]]=L$1, L$1,"rg:None")</f>
        <v>rg:None</v>
      </c>
      <c r="M338" t="str">
        <f>IF(Table2[[#This Row],[!Type]]=M$1, M$1,"rg:None")</f>
        <v>rg:None</v>
      </c>
      <c r="N338" s="9" t="str">
        <f>IF(Table2[[#This Row],[!Type]]=N$1, N$1,"rg:None")</f>
        <v>rg:None</v>
      </c>
      <c r="O338" s="9"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9">
        <f>IF(LEN(Table2[[#This Row],[!Length]]) &gt; 0, Table2[[#This Row],[!Length]], "rg:None")</f>
        <v>255</v>
      </c>
      <c r="U338" s="9" t="str">
        <f>IF(LEN(Table2[[#This Row],[!Name]]) &gt; 0, Table2[[#This Row],[!Name]], "rg:None")</f>
        <v>description</v>
      </c>
      <c r="V338" s="9" t="str">
        <f>IF(LEN(Table2[[#This Row],[!Description]]) &gt; 0, Table2[[#This Row],[!Description]], "rg:None")</f>
        <v>A description of the group that is presented to the user when they are setting a user into a group.</v>
      </c>
      <c r="W338" s="9" t="str">
        <f>IF(LEN(Table2[[#This Row],[!FK]])&gt;0,Table2[[#This Row],[!FK]],"rg:None")</f>
        <v>rg:None</v>
      </c>
      <c r="X338" s="9" t="str">
        <f>IF(LEN(concatif2(A:A,Table2[[#This Row],[!Table]],G:G,"Y",D:D,",")) &gt; 0,"rg:[ { 'req' : '"&amp;concatif2(A:A,Table2[[#This Row],[!Table]],G:G,"Y",D:D,"' }, { 'req': '")&amp;"'} ]","rg:[]")</f>
        <v>rg:[ { 'req' : 'id' }, { 'req': 'name' }, { 'req': 'description'} ]</v>
      </c>
      <c r="Y33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33"/>
  <sheetViews>
    <sheetView zoomScale="130" zoomScaleNormal="130" workbookViewId="0">
      <pane ySplit="1" topLeftCell="A11" activePane="bottomLeft" state="frozen"/>
      <selection pane="bottomLeft" activeCell="B21" sqref="B2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93</v>
      </c>
      <c r="B1" s="1" t="s">
        <v>94</v>
      </c>
      <c r="C1" s="1" t="s">
        <v>95</v>
      </c>
      <c r="D1" s="1" t="s">
        <v>96</v>
      </c>
      <c r="E1" s="2" t="s">
        <v>97</v>
      </c>
      <c r="F1" s="1" t="s">
        <v>98</v>
      </c>
      <c r="G1" s="10" t="s">
        <v>75</v>
      </c>
      <c r="H1" s="10" t="s">
        <v>85</v>
      </c>
      <c r="I1" s="10" t="s">
        <v>86</v>
      </c>
      <c r="J1" s="10" t="s">
        <v>87</v>
      </c>
      <c r="K1" s="10" t="s">
        <v>88</v>
      </c>
      <c r="L1" s="10" t="s">
        <v>89</v>
      </c>
      <c r="M1" s="10" t="s">
        <v>90</v>
      </c>
      <c r="N1" s="10" t="s">
        <v>91</v>
      </c>
      <c r="O1" s="10" t="s">
        <v>92</v>
      </c>
      <c r="P1" s="10" t="s">
        <v>81</v>
      </c>
      <c r="Q1" s="10" t="s">
        <v>82</v>
      </c>
      <c r="R1" s="10" t="s">
        <v>83</v>
      </c>
      <c r="S1" s="10" t="s">
        <v>84</v>
      </c>
      <c r="T1" s="10" t="s">
        <v>1</v>
      </c>
    </row>
    <row r="2" spans="1:20" x14ac:dyDescent="0.3">
      <c r="A2" s="8" t="s">
        <v>85</v>
      </c>
      <c r="B2" s="36" t="s">
        <v>237</v>
      </c>
      <c r="C2" s="23" t="s">
        <v>239</v>
      </c>
      <c r="D2" s="4"/>
      <c r="E2" s="13"/>
      <c r="F2" s="14"/>
      <c r="G2" s="15" t="str">
        <f>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s="23" customFormat="1" x14ac:dyDescent="0.3">
      <c r="A3" s="36" t="s">
        <v>85</v>
      </c>
      <c r="B3" s="36" t="s">
        <v>290</v>
      </c>
      <c r="C3" s="23" t="s">
        <v>241</v>
      </c>
      <c r="D3" s="4"/>
      <c r="E3" s="13"/>
      <c r="F3" s="14"/>
      <c r="G3" s="15" t="str">
        <f>IF(LEN(A3) &gt;0,"Path","-")</f>
        <v>Path</v>
      </c>
      <c r="H3" s="4" t="str">
        <f>IF(LEN(Table23[[#This Row],[!type]])&gt;0,IF(Table23[[#This Row],[!type]]=H$1,"1","rg:None"),"-")</f>
        <v>1</v>
      </c>
      <c r="I3" s="4" t="str">
        <f>IF(LEN(Table23[[#This Row],[!type]])&gt;0,IF(Table23[[#This Row],[!type]]=I$1,"1","rg:None"),"-")</f>
        <v>rg:None</v>
      </c>
      <c r="J3" s="4" t="str">
        <f>IF(LEN(Table23[[#This Row],[!type]])&gt;0,IF(Table23[[#This Row],[!type]]=J$1,"1","rg:None"),"-")</f>
        <v>rg:None</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equipmentTypes</v>
      </c>
      <c r="Q3" s="4" t="str">
        <f>IF(LEN(Table23[[#This Row],[!tag]]) &gt;0,Table23[[#This Row],[!tag]],"rg:None")</f>
        <v>EquipmentType</v>
      </c>
      <c r="R3" s="4" t="str">
        <f>IF(LEN(Table23[[#This Row],[!paramDef]]) &gt;0,Table23[[#This Row],[!paramDef]],"rg:None")</f>
        <v>rg:None</v>
      </c>
      <c r="S3" s="4" t="str">
        <f>IF(LEN(Table23[[#This Row],[!respDef]]) &gt;0,Table23[[#This Row],[!respDef]],"rg:None")</f>
        <v>rg:None</v>
      </c>
      <c r="T3" s="4" t="str">
        <f>IF(LEN(Table23[[#This Row],[!Description]]) &gt;0,Table23[[#This Row],[!Description]],"rg:None")</f>
        <v>rg:None</v>
      </c>
    </row>
    <row r="4" spans="1:20" s="23" customFormat="1" x14ac:dyDescent="0.3">
      <c r="A4" s="36" t="s">
        <v>85</v>
      </c>
      <c r="B4" s="38" t="s">
        <v>292</v>
      </c>
      <c r="C4" s="23" t="s">
        <v>244</v>
      </c>
      <c r="D4" s="4"/>
      <c r="E4" s="13"/>
      <c r="F4" s="14"/>
      <c r="G4" s="15" t="str">
        <f>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equipmentAttachmentTypes</v>
      </c>
      <c r="Q4" s="4" t="str">
        <f>IF(LEN(Table23[[#This Row],[!tag]]) &gt;0,Table23[[#This Row],[!tag]],"rg:None")</f>
        <v>EquipmentAttachmentType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x14ac:dyDescent="0.3">
      <c r="A5" s="8" t="s">
        <v>85</v>
      </c>
      <c r="B5" s="36" t="s">
        <v>288</v>
      </c>
      <c r="C5" s="3" t="s">
        <v>187</v>
      </c>
      <c r="D5" s="4"/>
      <c r="E5" s="13"/>
      <c r="F5" s="14"/>
      <c r="G5" s="15" t="str">
        <f>IF(LEN(A5) &gt;0,"Path","-")</f>
        <v>Path</v>
      </c>
      <c r="H5" s="4" t="str">
        <f>IF(LEN(Table23[[#This Row],[!type]])&gt;0,IF(Table23[[#This Row],[!type]]=H$1,"1","rg:None"),"-")</f>
        <v>1</v>
      </c>
      <c r="I5" s="4" t="str">
        <f>IF(LEN(Table23[[#This Row],[!type]])&gt;0,IF(Table23[[#This Row],[!type]]=I$1,"1","rg:None"),"-")</f>
        <v>rg:None</v>
      </c>
      <c r="J5" s="4" t="str">
        <f>IF(LEN(Table23[[#This Row],[!type]])&gt;0,IF(Table23[[#This Row],[!type]]=J$1,"1","rg:None"),"-")</f>
        <v>rg:None</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owners</v>
      </c>
      <c r="Q5" s="4" t="str">
        <f>IF(LEN(Table23[[#This Row],[!tag]]) &gt;0,Table23[[#This Row],[!tag]],"rg:None")</f>
        <v>Owner</v>
      </c>
      <c r="R5" s="4" t="str">
        <f>IF(LEN(Table23[[#This Row],[!paramDef]]) &gt;0,Table23[[#This Row],[!paramDef]],"rg:None")</f>
        <v>rg:None</v>
      </c>
      <c r="S5" s="4" t="str">
        <f>IF(LEN(Table23[[#This Row],[!respDef]]) &gt;0,Table23[[#This Row],[!respDef]],"rg:None")</f>
        <v>rg:None</v>
      </c>
      <c r="T5" s="4" t="str">
        <f>IF(LEN(Table23[[#This Row],[!Description]]) &gt;0,Table23[[#This Row],[!Description]],"rg:None")</f>
        <v>rg:None</v>
      </c>
    </row>
    <row r="6" spans="1:20" x14ac:dyDescent="0.3">
      <c r="A6" s="8" t="s">
        <v>85</v>
      </c>
      <c r="B6" s="36" t="s">
        <v>289</v>
      </c>
      <c r="C6" s="3" t="s">
        <v>163</v>
      </c>
      <c r="D6" s="4"/>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projects</v>
      </c>
      <c r="Q6" s="4" t="str">
        <f>IF(LEN(Table23[[#This Row],[!tag]]) &gt;0,Table23[[#This Row],[!tag]],"rg:None")</f>
        <v>Project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x14ac:dyDescent="0.3">
      <c r="A7" s="8" t="s">
        <v>85</v>
      </c>
      <c r="B7" s="11" t="s">
        <v>105</v>
      </c>
      <c r="C7" s="3" t="s">
        <v>69</v>
      </c>
      <c r="D7" s="3"/>
      <c r="E7" s="3"/>
      <c r="F7" s="3"/>
      <c r="G7" s="9" t="str">
        <f t="shared" ref="G7:G16" si="0">IF(LEN(A7) &gt;0,"Path","-")</f>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groups</v>
      </c>
      <c r="Q7" s="5" t="str">
        <f>IF(LEN(Table23[[#This Row],[!tag]]) &gt;0,Table23[[#This Row],[!tag]],"rg:None")</f>
        <v>Group</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8" t="s">
        <v>85</v>
      </c>
      <c r="B8" s="11" t="s">
        <v>106</v>
      </c>
      <c r="C8" s="3" t="s">
        <v>65</v>
      </c>
      <c r="D8" s="16" t="s">
        <v>116</v>
      </c>
      <c r="E8" s="3"/>
      <c r="F8" s="3"/>
      <c r="G8" s="9"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permissions</v>
      </c>
      <c r="Q8" s="5" t="str">
        <f>IF(LEN(Table23[[#This Row],[!tag]]) &gt;0,Table23[[#This Row],[!tag]],"rg:None")</f>
        <v>Permission</v>
      </c>
      <c r="R8" s="5" t="str">
        <f>IF(LEN(Table23[[#This Row],[!paramDef]]) &gt;0,Table23[[#This Row],[!paramDef]],"rg:None")</f>
        <v>PermissionViewModel</v>
      </c>
      <c r="S8" s="5" t="str">
        <f>IF(LEN(Table23[[#This Row],[!respDef]]) &gt;0,Table23[[#This Row],[!respDef]],"rg:None")</f>
        <v>rg:None</v>
      </c>
      <c r="T8" s="5" t="str">
        <f>IF(LEN(Table23[[#This Row],[!Description]]) &gt;0,Table23[[#This Row],[!Description]],"rg:None")</f>
        <v>rg:None</v>
      </c>
    </row>
    <row r="9" spans="1:20" x14ac:dyDescent="0.3">
      <c r="A9" s="45" t="s">
        <v>87</v>
      </c>
      <c r="B9" s="45" t="s">
        <v>106</v>
      </c>
      <c r="C9" s="46" t="s">
        <v>65</v>
      </c>
      <c r="D9" s="47" t="s">
        <v>65</v>
      </c>
      <c r="E9" s="13"/>
      <c r="F9" s="14"/>
      <c r="G9" s="15"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permissions</v>
      </c>
      <c r="Q9" s="4" t="str">
        <f>IF(LEN(Table23[[#This Row],[!tag]]) &gt;0,Table23[[#This Row],[!tag]],"rg:None")</f>
        <v>Permission</v>
      </c>
      <c r="R9" s="4" t="str">
        <f>IF(LEN(Table23[[#This Row],[!paramDef]]) &gt;0,Table23[[#This Row],[!paramDef]],"rg:None")</f>
        <v>Permission</v>
      </c>
      <c r="S9" s="4" t="str">
        <f>IF(LEN(Table23[[#This Row],[!respDef]]) &gt;0,Table23[[#This Row],[!respDef]],"rg:None")</f>
        <v>rg:None</v>
      </c>
      <c r="T9" s="4" t="str">
        <f>IF(LEN(Table23[[#This Row],[!Description]]) &gt;0,Table23[[#This Row],[!Description]],"rg:None")</f>
        <v>rg:None</v>
      </c>
    </row>
    <row r="10" spans="1:20" x14ac:dyDescent="0.3">
      <c r="A10" s="8" t="s">
        <v>85</v>
      </c>
      <c r="B10" s="11" t="s">
        <v>107</v>
      </c>
      <c r="C10" s="3" t="s">
        <v>61</v>
      </c>
      <c r="D10" s="16" t="s">
        <v>117</v>
      </c>
      <c r="E10" s="3"/>
      <c r="F10" s="3"/>
      <c r="G10" s="9"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roles</v>
      </c>
      <c r="Q10" s="5" t="str">
        <f>IF(LEN(Table23[[#This Row],[!tag]]) &gt;0,Table23[[#This Row],[!tag]],"rg:None")</f>
        <v>Role</v>
      </c>
      <c r="R10" s="5" t="str">
        <f>IF(LEN(Table23[[#This Row],[!paramDef]]) &gt;0,Table23[[#This Row],[!paramDef]],"rg:None")</f>
        <v>RoleViewModel</v>
      </c>
      <c r="S10" s="5" t="str">
        <f>IF(LEN(Table23[[#This Row],[!respDef]]) &gt;0,Table23[[#This Row],[!respDef]],"rg:None")</f>
        <v>rg:None</v>
      </c>
      <c r="T10" s="5" t="str">
        <f>IF(LEN(Table23[[#This Row],[!Description]]) &gt;0,Table23[[#This Row],[!Description]],"rg:None")</f>
        <v>rg:None</v>
      </c>
    </row>
    <row r="11" spans="1:20" x14ac:dyDescent="0.3">
      <c r="A11" s="45" t="s">
        <v>87</v>
      </c>
      <c r="B11" s="45" t="s">
        <v>107</v>
      </c>
      <c r="C11" s="46" t="s">
        <v>61</v>
      </c>
      <c r="D11" s="47" t="s">
        <v>61</v>
      </c>
      <c r="E11" s="13"/>
      <c r="F11" s="14"/>
      <c r="G11" s="15"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roles</v>
      </c>
      <c r="Q11" s="4" t="str">
        <f>IF(LEN(Table23[[#This Row],[!tag]]) &gt;0,Table23[[#This Row],[!tag]],"rg:None")</f>
        <v>Role</v>
      </c>
      <c r="R11" s="4" t="str">
        <f>IF(LEN(Table23[[#This Row],[!paramDef]]) &gt;0,Table23[[#This Row],[!paramDef]],"rg:None")</f>
        <v>Role</v>
      </c>
      <c r="S11" s="4" t="str">
        <f>IF(LEN(Table23[[#This Row],[!respDef]]) &gt;0,Table23[[#This Row],[!respDef]],"rg:None")</f>
        <v>rg:None</v>
      </c>
      <c r="T11" s="4" t="str">
        <f>IF(LEN(Table23[[#This Row],[!Description]]) &gt;0,Table23[[#This Row],[!Description]],"rg:None")</f>
        <v>rg:None</v>
      </c>
    </row>
    <row r="12" spans="1:20" x14ac:dyDescent="0.3">
      <c r="A12" s="11" t="s">
        <v>87</v>
      </c>
      <c r="B12" s="11" t="s">
        <v>114</v>
      </c>
      <c r="C12" s="16" t="s">
        <v>61</v>
      </c>
      <c r="D12" s="16" t="s">
        <v>63</v>
      </c>
      <c r="E12" s="3"/>
      <c r="F12" s="3"/>
      <c r="G12" s="9" t="str">
        <f t="shared" si="0"/>
        <v>Path</v>
      </c>
      <c r="H12" s="5" t="str">
        <f>IF(LEN(Table23[[#This Row],[!type]])&gt;0,IF(Table23[[#This Row],[!type]]=H$1,"1","rg:None"),"-")</f>
        <v>rg:None</v>
      </c>
      <c r="I12" s="5" t="str">
        <f>IF(LEN(Table23[[#This Row],[!type]])&gt;0,IF(Table23[[#This Row],[!type]]=I$1,"1","rg:None"),"-")</f>
        <v>rg:None</v>
      </c>
      <c r="J12" s="5" t="str">
        <f>IF(LEN(Table23[[#This Row],[!type]])&gt;0,IF(Table23[[#This Row],[!type]]=J$1,"1","rg:None"),"-")</f>
        <v>1</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rolepermissions</v>
      </c>
      <c r="Q12" s="5" t="str">
        <f>IF(LEN(Table23[[#This Row],[!tag]]) &gt;0,Table23[[#This Row],[!tag]],"rg:None")</f>
        <v>Role</v>
      </c>
      <c r="R12" s="5" t="str">
        <f>IF(LEN(Table23[[#This Row],[!paramDef]]) &gt;0,Table23[[#This Row],[!paramDef]],"rg:None")</f>
        <v>RolePermission</v>
      </c>
      <c r="S12" s="5" t="str">
        <f>IF(LEN(Table23[[#This Row],[!respDef]]) &gt;0,Table23[[#This Row],[!respDef]],"rg:None")</f>
        <v>rg:None</v>
      </c>
      <c r="T12" s="5" t="str">
        <f>IF(LEN(Table23[[#This Row],[!Description]]) &gt;0,Table23[[#This Row],[!Description]],"rg:None")</f>
        <v>rg:None</v>
      </c>
    </row>
    <row r="13" spans="1:20" x14ac:dyDescent="0.3">
      <c r="A13" s="8" t="s">
        <v>85</v>
      </c>
      <c r="B13" s="11" t="s">
        <v>108</v>
      </c>
      <c r="C13" s="3" t="s">
        <v>0</v>
      </c>
      <c r="D13" s="16" t="s">
        <v>118</v>
      </c>
      <c r="E13" s="3"/>
      <c r="F13" s="3"/>
      <c r="G13" s="9"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users</v>
      </c>
      <c r="Q13" s="5" t="str">
        <f>IF(LEN(Table23[[#This Row],[!tag]]) &gt;0,Table23[[#This Row],[!tag]],"rg:None")</f>
        <v>User</v>
      </c>
      <c r="R13" s="5" t="str">
        <f>IF(LEN(Table23[[#This Row],[!paramDef]]) &gt;0,Table23[[#This Row],[!paramDef]],"rg:None")</f>
        <v>UserViewModel</v>
      </c>
      <c r="S13" s="5" t="str">
        <f>IF(LEN(Table23[[#This Row],[!respDef]]) &gt;0,Table23[[#This Row],[!respDef]],"rg:None")</f>
        <v>rg:None</v>
      </c>
      <c r="T13" s="5" t="str">
        <f>IF(LEN(Table23[[#This Row],[!Description]]) &gt;0,Table23[[#This Row],[!Description]],"rg:None")</f>
        <v>rg:None</v>
      </c>
    </row>
    <row r="14" spans="1:20" x14ac:dyDescent="0.3">
      <c r="A14" s="45" t="s">
        <v>87</v>
      </c>
      <c r="B14" s="45" t="s">
        <v>108</v>
      </c>
      <c r="C14" s="46" t="s">
        <v>0</v>
      </c>
      <c r="D14" s="47" t="s">
        <v>0</v>
      </c>
      <c r="E14" s="13"/>
      <c r="F14" s="14"/>
      <c r="G14" s="15" t="str">
        <f>IF(LEN(A14) &gt;0,"Path","-")</f>
        <v>Path</v>
      </c>
      <c r="H14" s="4" t="str">
        <f>IF(LEN(Table23[[#This Row],[!type]])&gt;0,IF(Table23[[#This Row],[!type]]=H$1,"1","rg:None"),"-")</f>
        <v>rg:None</v>
      </c>
      <c r="I14" s="4" t="str">
        <f>IF(LEN(Table23[[#This Row],[!type]])&gt;0,IF(Table23[[#This Row],[!type]]=I$1,"1","rg:None"),"-")</f>
        <v>rg:None</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users</v>
      </c>
      <c r="Q14" s="4" t="str">
        <f>IF(LEN(Table23[[#This Row],[!tag]]) &gt;0,Table23[[#This Row],[!tag]],"rg:None")</f>
        <v>User</v>
      </c>
      <c r="R14" s="4" t="str">
        <f>IF(LEN(Table23[[#This Row],[!paramDef]]) &gt;0,Table23[[#This Row],[!paramDef]],"rg:None")</f>
        <v>User</v>
      </c>
      <c r="S14" s="4" t="str">
        <f>IF(LEN(Table23[[#This Row],[!respDef]]) &gt;0,Table23[[#This Row],[!respDef]],"rg:None")</f>
        <v>rg:None</v>
      </c>
      <c r="T14" s="4" t="str">
        <f>IF(LEN(Table23[[#This Row],[!Description]]) &gt;0,Table23[[#This Row],[!Description]],"rg:None")</f>
        <v>rg:None</v>
      </c>
    </row>
    <row r="15" spans="1:20" x14ac:dyDescent="0.3">
      <c r="A15" s="12" t="s">
        <v>87</v>
      </c>
      <c r="B15" s="12" t="s">
        <v>115</v>
      </c>
      <c r="C15" s="17" t="s">
        <v>0</v>
      </c>
      <c r="D15" s="16" t="s">
        <v>67</v>
      </c>
      <c r="E15" s="13"/>
      <c r="F15" s="14"/>
      <c r="G15" s="15" t="str">
        <f t="shared" si="0"/>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usergroups</v>
      </c>
      <c r="Q15" s="4" t="str">
        <f>IF(LEN(Table23[[#This Row],[!tag]]) &gt;0,Table23[[#This Row],[!tag]],"rg:None")</f>
        <v>User</v>
      </c>
      <c r="R15" s="4" t="str">
        <f>IF(LEN(Table23[[#This Row],[!paramDef]]) &gt;0,Table23[[#This Row],[!paramDef]],"rg:None")</f>
        <v>GroupMembership</v>
      </c>
      <c r="S15" s="4" t="str">
        <f>IF(LEN(Table23[[#This Row],[!respDef]]) &gt;0,Table23[[#This Row],[!respDef]],"rg:None")</f>
        <v>rg:None</v>
      </c>
      <c r="T15" s="4" t="str">
        <f>IF(LEN(Table23[[#This Row],[!Description]]) &gt;0,Table23[[#This Row],[!Description]],"rg:None")</f>
        <v>rg:None</v>
      </c>
    </row>
    <row r="16" spans="1:20" x14ac:dyDescent="0.3">
      <c r="A16" s="11" t="s">
        <v>87</v>
      </c>
      <c r="B16" s="11" t="s">
        <v>109</v>
      </c>
      <c r="C16" s="16" t="s">
        <v>0</v>
      </c>
      <c r="D16" s="16" t="s">
        <v>58</v>
      </c>
      <c r="E16" s="3"/>
      <c r="F16" s="3"/>
      <c r="G16" s="9" t="str">
        <f t="shared" si="0"/>
        <v>Path</v>
      </c>
      <c r="H16" s="5" t="str">
        <f>IF(LEN(Table23[[#This Row],[!type]])&gt;0,IF(Table23[[#This Row],[!type]]=H$1,"1","rg:None"),"-")</f>
        <v>rg:None</v>
      </c>
      <c r="I16" s="5" t="str">
        <f>IF(LEN(Table23[[#This Row],[!type]])&gt;0,IF(Table23[[#This Row],[!type]]=I$1,"1","rg:None"),"-")</f>
        <v>rg:None</v>
      </c>
      <c r="J16" s="5" t="str">
        <f>IF(LEN(Table23[[#This Row],[!type]])&gt;0,IF(Table23[[#This Row],[!type]]=J$1,"1","rg:None"),"-")</f>
        <v>1</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userroles</v>
      </c>
      <c r="Q16" s="5" t="str">
        <f>IF(LEN(Table23[[#This Row],[!tag]]) &gt;0,Table23[[#This Row],[!tag]],"rg:None")</f>
        <v>User</v>
      </c>
      <c r="R16" s="5" t="str">
        <f>IF(LEN(Table23[[#This Row],[!paramDef]]) &gt;0,Table23[[#This Row],[!paramDef]],"rg:None")</f>
        <v>UserRole</v>
      </c>
      <c r="S16" s="5" t="str">
        <f>IF(LEN(Table23[[#This Row],[!respDef]]) &gt;0,Table23[[#This Row],[!respDef]],"rg:None")</f>
        <v>rg:None</v>
      </c>
      <c r="T16" s="5" t="str">
        <f>IF(LEN(Table23[[#This Row],[!Description]]) &gt;0,Table23[[#This Row],[!Description]],"rg:None")</f>
        <v>rg:None</v>
      </c>
    </row>
    <row r="17" spans="1:20" x14ac:dyDescent="0.3">
      <c r="A17" s="8" t="s">
        <v>85</v>
      </c>
      <c r="B17" s="11" t="s">
        <v>110</v>
      </c>
      <c r="C17" s="3" t="s">
        <v>30</v>
      </c>
      <c r="D17" s="3"/>
      <c r="E17" s="3"/>
      <c r="F17" s="3"/>
      <c r="G17" s="9" t="str">
        <f t="shared" ref="G17:G33" si="1">IF(LEN(A17) &gt;0,"Path","-")</f>
        <v>Path</v>
      </c>
      <c r="H17" s="5" t="str">
        <f>IF(LEN(Table23[[#This Row],[!type]])&gt;0,IF(Table23[[#This Row],[!type]]=H$1,"1","rg:None"),"-")</f>
        <v>1</v>
      </c>
      <c r="I17" s="5" t="str">
        <f>IF(LEN(Table23[[#This Row],[!type]])&gt;0,IF(Table23[[#This Row],[!type]]=I$1,"1","rg:None"),"-")</f>
        <v>rg:None</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regions</v>
      </c>
      <c r="Q17" s="5" t="str">
        <f>IF(LEN(Table23[[#This Row],[!tag]]) &gt;0,Table23[[#This Row],[!tag]],"rg:None")</f>
        <v>Region</v>
      </c>
      <c r="R17" s="5" t="str">
        <f>IF(LEN(Table23[[#This Row],[!paramDef]]) &gt;0,Table23[[#This Row],[!paramDef]],"rg:None")</f>
        <v>rg:None</v>
      </c>
      <c r="S17" s="5" t="str">
        <f>IF(LEN(Table23[[#This Row],[!respDef]]) &gt;0,Table23[[#This Row],[!respDef]],"rg:None")</f>
        <v>rg:None</v>
      </c>
      <c r="T17" s="5" t="str">
        <f>IF(LEN(Table23[[#This Row],[!Description]]) &gt;0,Table23[[#This Row],[!Description]],"rg:None")</f>
        <v>rg:None</v>
      </c>
    </row>
    <row r="18" spans="1:20" x14ac:dyDescent="0.3">
      <c r="A18" s="8" t="s">
        <v>85</v>
      </c>
      <c r="B18" s="11" t="s">
        <v>111</v>
      </c>
      <c r="C18" s="3" t="s">
        <v>36</v>
      </c>
      <c r="D18" s="3"/>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districts</v>
      </c>
      <c r="Q18" s="5" t="str">
        <f>IF(LEN(Table23[[#This Row],[!tag]]) &gt;0,Table23[[#This Row],[!tag]],"rg:None")</f>
        <v>District</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8" t="s">
        <v>85</v>
      </c>
      <c r="B19" s="11" t="s">
        <v>112</v>
      </c>
      <c r="C19" s="3" t="s">
        <v>10</v>
      </c>
      <c r="D19" s="3"/>
      <c r="E19" s="3"/>
      <c r="F19" s="3"/>
      <c r="G19" s="9"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serviceareas</v>
      </c>
      <c r="Q19" s="5" t="str">
        <f>IF(LEN(Table23[[#This Row],[!tag]]) &gt;0,Table23[[#This Row],[!tag]],"rg:None")</f>
        <v>ServiceArea</v>
      </c>
      <c r="R19" s="5" t="str">
        <f>IF(LEN(Table23[[#This Row],[!paramDef]]) &gt;0,Table23[[#This Row],[!paramDef]],"rg:None")</f>
        <v>rg:None</v>
      </c>
      <c r="S19" s="5" t="str">
        <f>IF(LEN(Table23[[#This Row],[!respDef]]) &gt;0,Table23[[#This Row],[!respDef]],"rg:None")</f>
        <v>rg:None</v>
      </c>
      <c r="T19" s="5" t="str">
        <f>IF(LEN(Table23[[#This Row],[!Description]]) &gt;0,Table23[[#This Row],[!Description]],"rg:None")</f>
        <v>rg:None</v>
      </c>
    </row>
    <row r="20" spans="1:20" x14ac:dyDescent="0.3">
      <c r="A20" s="8" t="s">
        <v>85</v>
      </c>
      <c r="B20" s="11" t="s">
        <v>113</v>
      </c>
      <c r="C20" s="3" t="s">
        <v>11</v>
      </c>
      <c r="D20" s="3"/>
      <c r="E20" s="3"/>
      <c r="F20" s="3"/>
      <c r="G20" s="9" t="str">
        <f t="shared" si="1"/>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cities</v>
      </c>
      <c r="Q20" s="5" t="str">
        <f>IF(LEN(Table23[[#This Row],[!tag]]) &gt;0,Table23[[#This Row],[!tag]],"rg:None")</f>
        <v>City</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36" t="s">
        <v>85</v>
      </c>
      <c r="B21" s="36" t="s">
        <v>291</v>
      </c>
      <c r="C21" s="37" t="s">
        <v>198</v>
      </c>
      <c r="D21" s="4"/>
      <c r="E21" s="13"/>
      <c r="F21" s="14"/>
      <c r="G21" s="15" t="str">
        <f t="shared" si="1"/>
        <v>Path</v>
      </c>
      <c r="H21" s="4" t="str">
        <f>IF(LEN(Table23[[#This Row],[!type]])&gt;0,IF(Table23[[#This Row],[!type]]=H$1,"1","rg:None"),"-")</f>
        <v>1</v>
      </c>
      <c r="I21" s="4" t="str">
        <f>IF(LEN(Table23[[#This Row],[!type]])&gt;0,IF(Table23[[#This Row],[!type]]=I$1,"1","rg:None"),"-")</f>
        <v>rg:None</v>
      </c>
      <c r="J21" s="4" t="str">
        <f>IF(LEN(Table23[[#This Row],[!type]])&gt;0,IF(Table23[[#This Row],[!type]]=J$1,"1","rg:None"),"-")</f>
        <v>rg:None</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localAreas</v>
      </c>
      <c r="Q21" s="4" t="str">
        <f>IF(LEN(Table23[[#This Row],[!tag]]) &gt;0,Table23[[#This Row],[!tag]],"rg:None")</f>
        <v>LocalArea</v>
      </c>
      <c r="R21" s="4" t="str">
        <f>IF(LEN(Table23[[#This Row],[!paramDef]]) &gt;0,Table23[[#This Row],[!paramDef]],"rg:None")</f>
        <v>rg:None</v>
      </c>
      <c r="S21" s="4" t="str">
        <f>IF(LEN(Table23[[#This Row],[!respDef]]) &gt;0,Table23[[#This Row],[!respDef]],"rg:None")</f>
        <v>rg:None</v>
      </c>
      <c r="T21" s="4" t="str">
        <f>IF(LEN(Table23[[#This Row],[!Description]]) &gt;0,Table23[[#This Row],[!Description]],"rg:None")</f>
        <v>rg:None</v>
      </c>
    </row>
    <row r="22" spans="1:20" x14ac:dyDescent="0.3">
      <c r="A22" s="49" t="s">
        <v>85</v>
      </c>
      <c r="B22" s="49" t="s">
        <v>235</v>
      </c>
      <c r="C22" s="19" t="s">
        <v>223</v>
      </c>
      <c r="D22" s="50" t="s">
        <v>223</v>
      </c>
      <c r="E22" s="13"/>
      <c r="F22" s="14"/>
      <c r="G22" s="15" t="str">
        <f t="shared" si="1"/>
        <v>Path</v>
      </c>
      <c r="H22" s="4" t="str">
        <f>IF(LEN(Table23[[#This Row],[!type]])&gt;0,IF(Table23[[#This Row],[!type]]=H$1,"1","rg:None"),"-")</f>
        <v>1</v>
      </c>
      <c r="I22" s="4" t="str">
        <f>IF(LEN(Table23[[#This Row],[!type]])&gt;0,IF(Table23[[#This Row],[!type]]=I$1,"1","rg:None"),"-")</f>
        <v>rg:None</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contacts</v>
      </c>
      <c r="Q22" s="4" t="str">
        <f>IF(LEN(Table23[[#This Row],[!tag]]) &gt;0,Table23[[#This Row],[!tag]],"rg:None")</f>
        <v>Contact</v>
      </c>
      <c r="R22" s="4" t="str">
        <f>IF(LEN(Table23[[#This Row],[!paramDef]]) &gt;0,Table23[[#This Row],[!paramDef]],"rg:None")</f>
        <v>Contact</v>
      </c>
      <c r="S22" s="4" t="str">
        <f>IF(LEN(Table23[[#This Row],[!respDef]]) &gt;0,Table23[[#This Row],[!respDef]],"rg:None")</f>
        <v>rg:None</v>
      </c>
      <c r="T22" s="4" t="str">
        <f>IF(LEN(Table23[[#This Row],[!Description]]) &gt;0,Table23[[#This Row],[!Description]],"rg:None")</f>
        <v>rg:None</v>
      </c>
    </row>
    <row r="23" spans="1:20" x14ac:dyDescent="0.3">
      <c r="A23" s="49" t="s">
        <v>87</v>
      </c>
      <c r="B23" s="49" t="s">
        <v>235</v>
      </c>
      <c r="C23" s="19" t="s">
        <v>223</v>
      </c>
      <c r="D23" s="50" t="s">
        <v>223</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contacts</v>
      </c>
      <c r="Q23" s="4" t="str">
        <f>IF(LEN(Table23[[#This Row],[!tag]]) &gt;0,Table23[[#This Row],[!tag]],"rg:None")</f>
        <v>Contact</v>
      </c>
      <c r="R23" s="4" t="str">
        <f>IF(LEN(Table23[[#This Row],[!paramDef]]) &gt;0,Table23[[#This Row],[!paramDef]],"rg:None")</f>
        <v>Contact</v>
      </c>
      <c r="S23" s="4" t="str">
        <f>IF(LEN(Table23[[#This Row],[!respDef]]) &gt;0,Table23[[#This Row],[!respDef]],"rg:None")</f>
        <v>rg:None</v>
      </c>
      <c r="T23" s="4" t="str">
        <f>IF(LEN(Table23[[#This Row],[!Description]]) &gt;0,Table23[[#This Row],[!Description]],"rg:None")</f>
        <v>rg:None</v>
      </c>
    </row>
    <row r="24" spans="1:20" x14ac:dyDescent="0.3">
      <c r="A24" s="49" t="s">
        <v>85</v>
      </c>
      <c r="B24" s="49" t="s">
        <v>299</v>
      </c>
      <c r="C24" s="51" t="s">
        <v>130</v>
      </c>
      <c r="D24" s="50" t="s">
        <v>130</v>
      </c>
      <c r="E24" s="13"/>
      <c r="F24" s="14"/>
      <c r="G24" s="15" t="str">
        <f t="shared" si="1"/>
        <v>Path</v>
      </c>
      <c r="H24" s="4" t="str">
        <f>IF(LEN(Table23[[#This Row],[!type]])&gt;0,IF(Table23[[#This Row],[!type]]=H$1,"1","rg:None"),"-")</f>
        <v>1</v>
      </c>
      <c r="I24" s="4" t="str">
        <f>IF(LEN(Table23[[#This Row],[!type]])&gt;0,IF(Table23[[#This Row],[!type]]=I$1,"1","rg:None"),"-")</f>
        <v>rg:None</v>
      </c>
      <c r="J24" s="4" t="str">
        <f>IF(LEN(Table23[[#This Row],[!type]])&gt;0,IF(Table23[[#This Row],[!type]]=J$1,"1","rg:None"),"-")</f>
        <v>rg:None</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dumptrucks</v>
      </c>
      <c r="Q24" s="4" t="str">
        <f>IF(LEN(Table23[[#This Row],[!tag]]) &gt;0,Table23[[#This Row],[!tag]],"rg:None")</f>
        <v>DumpTruck</v>
      </c>
      <c r="R24" s="4" t="str">
        <f>IF(LEN(Table23[[#This Row],[!paramDef]]) &gt;0,Table23[[#This Row],[!paramDef]],"rg:None")</f>
        <v>DumpTruck</v>
      </c>
      <c r="S24" s="4" t="str">
        <f>IF(LEN(Table23[[#This Row],[!respDef]]) &gt;0,Table23[[#This Row],[!respDef]],"rg:None")</f>
        <v>rg:None</v>
      </c>
      <c r="T24" s="4" t="str">
        <f>IF(LEN(Table23[[#This Row],[!Description]]) &gt;0,Table23[[#This Row],[!Description]],"rg:None")</f>
        <v>rg:None</v>
      </c>
    </row>
    <row r="25" spans="1:20" x14ac:dyDescent="0.3">
      <c r="A25" s="49" t="s">
        <v>87</v>
      </c>
      <c r="B25" s="49" t="s">
        <v>299</v>
      </c>
      <c r="C25" s="51" t="s">
        <v>130</v>
      </c>
      <c r="D25" s="50" t="s">
        <v>130</v>
      </c>
      <c r="E25" s="13"/>
      <c r="F25" s="14"/>
      <c r="G25" s="15" t="str">
        <f t="shared" si="1"/>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dumptrucks</v>
      </c>
      <c r="Q25" s="4" t="str">
        <f>IF(LEN(Table23[[#This Row],[!tag]]) &gt;0,Table23[[#This Row],[!tag]],"rg:None")</f>
        <v>DumpTruck</v>
      </c>
      <c r="R25" s="4" t="str">
        <f>IF(LEN(Table23[[#This Row],[!paramDef]]) &gt;0,Table23[[#This Row],[!paramDef]],"rg:None")</f>
        <v>DumpTruck</v>
      </c>
      <c r="S25" s="4" t="str">
        <f>IF(LEN(Table23[[#This Row],[!respDef]]) &gt;0,Table23[[#This Row],[!respDef]],"rg:None")</f>
        <v>rg:None</v>
      </c>
      <c r="T25" s="4" t="str">
        <f>IF(LEN(Table23[[#This Row],[!Description]]) &gt;0,Table23[[#This Row],[!Description]],"rg:None")</f>
        <v>rg:None</v>
      </c>
    </row>
    <row r="26" spans="1:20" x14ac:dyDescent="0.3">
      <c r="A26" s="49" t="s">
        <v>85</v>
      </c>
      <c r="B26" s="49" t="s">
        <v>213</v>
      </c>
      <c r="C26" s="51" t="s">
        <v>193</v>
      </c>
      <c r="D26" s="50" t="s">
        <v>193</v>
      </c>
      <c r="E26" s="13"/>
      <c r="F26" s="14"/>
      <c r="G26" s="15" t="str">
        <f t="shared" si="1"/>
        <v>Path</v>
      </c>
      <c r="H26" s="4" t="str">
        <f>IF(LEN(Table23[[#This Row],[!type]])&gt;0,IF(Table23[[#This Row],[!type]]=H$1,"1","rg:None"),"-")</f>
        <v>1</v>
      </c>
      <c r="I26" s="4" t="str">
        <f>IF(LEN(Table23[[#This Row],[!type]])&gt;0,IF(Table23[[#This Row],[!type]]=I$1,"1","rg:None"),"-")</f>
        <v>rg:None</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notes</v>
      </c>
      <c r="Q26" s="4" t="str">
        <f>IF(LEN(Table23[[#This Row],[!tag]]) &gt;0,Table23[[#This Row],[!tag]],"rg:None")</f>
        <v>Note</v>
      </c>
      <c r="R26" s="4" t="str">
        <f>IF(LEN(Table23[[#This Row],[!paramDef]]) &gt;0,Table23[[#This Row],[!paramDef]],"rg:None")</f>
        <v>Note</v>
      </c>
      <c r="S26" s="4" t="str">
        <f>IF(LEN(Table23[[#This Row],[!respDef]]) &gt;0,Table23[[#This Row],[!respDef]],"rg:None")</f>
        <v>rg:None</v>
      </c>
      <c r="T26" s="4" t="str">
        <f>IF(LEN(Table23[[#This Row],[!Description]]) &gt;0,Table23[[#This Row],[!Description]],"rg:None")</f>
        <v>rg:None</v>
      </c>
    </row>
    <row r="27" spans="1:20" x14ac:dyDescent="0.3">
      <c r="A27" s="49" t="s">
        <v>87</v>
      </c>
      <c r="B27" s="49" t="s">
        <v>213</v>
      </c>
      <c r="C27" s="51" t="s">
        <v>193</v>
      </c>
      <c r="D27" s="50" t="s">
        <v>193</v>
      </c>
      <c r="E27" s="13"/>
      <c r="F27" s="14"/>
      <c r="G27" s="15" t="str">
        <f t="shared" si="1"/>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notes</v>
      </c>
      <c r="Q27" s="4" t="str">
        <f>IF(LEN(Table23[[#This Row],[!tag]]) &gt;0,Table23[[#This Row],[!tag]],"rg:None")</f>
        <v>Note</v>
      </c>
      <c r="R27" s="4" t="str">
        <f>IF(LEN(Table23[[#This Row],[!paramDef]]) &gt;0,Table23[[#This Row],[!paramDef]],"rg:None")</f>
        <v>Note</v>
      </c>
      <c r="S27" s="4" t="str">
        <f>IF(LEN(Table23[[#This Row],[!respDef]]) &gt;0,Table23[[#This Row],[!respDef]],"rg:None")</f>
        <v>rg:None</v>
      </c>
      <c r="T27" s="4" t="str">
        <f>IF(LEN(Table23[[#This Row],[!Description]]) &gt;0,Table23[[#This Row],[!Description]],"rg:None")</f>
        <v>rg:None</v>
      </c>
    </row>
    <row r="28" spans="1:20" x14ac:dyDescent="0.3">
      <c r="A28" s="49" t="s">
        <v>85</v>
      </c>
      <c r="B28" s="49" t="s">
        <v>300</v>
      </c>
      <c r="C28" s="51" t="s">
        <v>207</v>
      </c>
      <c r="D28" s="50" t="s">
        <v>207</v>
      </c>
      <c r="E28" s="13"/>
      <c r="F28" s="14"/>
      <c r="G28" s="15" t="str">
        <f t="shared" si="1"/>
        <v>Path</v>
      </c>
      <c r="H28" s="4" t="str">
        <f>IF(LEN(Table23[[#This Row],[!type]])&gt;0,IF(Table23[[#This Row],[!type]]=H$1,"1","rg:None"),"-")</f>
        <v>1</v>
      </c>
      <c r="I28" s="4" t="str">
        <f>IF(LEN(Table23[[#This Row],[!type]])&gt;0,IF(Table23[[#This Row],[!type]]=I$1,"1","rg:None"),"-")</f>
        <v>rg:None</v>
      </c>
      <c r="J28" s="4" t="str">
        <f>IF(LEN(Table23[[#This Row],[!type]])&gt;0,IF(Table23[[#This Row],[!type]]=J$1,"1","rg:None"),"-")</f>
        <v>rg:None</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attachment</v>
      </c>
      <c r="Q28" s="4" t="str">
        <f>IF(LEN(Table23[[#This Row],[!tag]]) &gt;0,Table23[[#This Row],[!tag]],"rg:None")</f>
        <v>Attachment</v>
      </c>
      <c r="R28" s="4" t="str">
        <f>IF(LEN(Table23[[#This Row],[!paramDef]]) &gt;0,Table23[[#This Row],[!paramDef]],"rg:None")</f>
        <v>Attachment</v>
      </c>
      <c r="S28" s="4" t="str">
        <f>IF(LEN(Table23[[#This Row],[!respDef]]) &gt;0,Table23[[#This Row],[!respDef]],"rg:None")</f>
        <v>rg:None</v>
      </c>
      <c r="T28" s="4" t="str">
        <f>IF(LEN(Table23[[#This Row],[!Description]]) &gt;0,Table23[[#This Row],[!Description]],"rg:None")</f>
        <v>rg:None</v>
      </c>
    </row>
    <row r="29" spans="1:20" x14ac:dyDescent="0.3">
      <c r="A29" s="49" t="s">
        <v>87</v>
      </c>
      <c r="B29" s="49" t="s">
        <v>300</v>
      </c>
      <c r="C29" s="51" t="s">
        <v>207</v>
      </c>
      <c r="D29" s="50" t="s">
        <v>207</v>
      </c>
      <c r="E29" s="13"/>
      <c r="F29" s="14"/>
      <c r="G29" s="15"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attachment</v>
      </c>
      <c r="Q29" s="4" t="str">
        <f>IF(LEN(Table23[[#This Row],[!tag]]) &gt;0,Table23[[#This Row],[!tag]],"rg:None")</f>
        <v>Attachment</v>
      </c>
      <c r="R29" s="4" t="str">
        <f>IF(LEN(Table23[[#This Row],[!paramDef]]) &gt;0,Table23[[#This Row],[!paramDef]],"rg:None")</f>
        <v>Attachment</v>
      </c>
      <c r="S29" s="4" t="str">
        <f>IF(LEN(Table23[[#This Row],[!respDef]]) &gt;0,Table23[[#This Row],[!respDef]],"rg:None")</f>
        <v>rg:None</v>
      </c>
      <c r="T29" s="4" t="str">
        <f>IF(LEN(Table23[[#This Row],[!Description]]) &gt;0,Table23[[#This Row],[!Description]],"rg:None")</f>
        <v>rg:None</v>
      </c>
    </row>
    <row r="30" spans="1:20" x14ac:dyDescent="0.3">
      <c r="A30" s="49" t="s">
        <v>85</v>
      </c>
      <c r="B30" s="49" t="s">
        <v>301</v>
      </c>
      <c r="C30" s="51" t="s">
        <v>224</v>
      </c>
      <c r="D30" s="50" t="s">
        <v>224</v>
      </c>
      <c r="E30" s="13"/>
      <c r="F30" s="14"/>
      <c r="G30" s="15" t="str">
        <f t="shared" si="1"/>
        <v>Path</v>
      </c>
      <c r="H30" s="4" t="str">
        <f>IF(LEN(Table23[[#This Row],[!type]])&gt;0,IF(Table23[[#This Row],[!type]]=H$1,"1","rg:None"),"-")</f>
        <v>1</v>
      </c>
      <c r="I30" s="4" t="str">
        <f>IF(LEN(Table23[[#This Row],[!type]])&gt;0,IF(Table23[[#This Row],[!type]]=I$1,"1","rg:None"),"-")</f>
        <v>rg:None</v>
      </c>
      <c r="J30" s="4" t="str">
        <f>IF(LEN(Table23[[#This Row],[!type]])&gt;0,IF(Table23[[#This Row],[!type]]=J$1,"1","rg:None"),"-")</f>
        <v>rg:None</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contactphones</v>
      </c>
      <c r="Q30" s="4" t="str">
        <f>IF(LEN(Table23[[#This Row],[!tag]]) &gt;0,Table23[[#This Row],[!tag]],"rg:None")</f>
        <v>ContactPhone</v>
      </c>
      <c r="R30" s="4" t="str">
        <f>IF(LEN(Table23[[#This Row],[!paramDef]]) &gt;0,Table23[[#This Row],[!paramDef]],"rg:None")</f>
        <v>ContactPhone</v>
      </c>
      <c r="S30" s="4" t="str">
        <f>IF(LEN(Table23[[#This Row],[!respDef]]) &gt;0,Table23[[#This Row],[!respDef]],"rg:None")</f>
        <v>rg:None</v>
      </c>
      <c r="T30" s="4" t="str">
        <f>IF(LEN(Table23[[#This Row],[!Description]]) &gt;0,Table23[[#This Row],[!Description]],"rg:None")</f>
        <v>rg:None</v>
      </c>
    </row>
    <row r="31" spans="1:20" x14ac:dyDescent="0.3">
      <c r="A31" s="49" t="s">
        <v>87</v>
      </c>
      <c r="B31" s="49" t="s">
        <v>301</v>
      </c>
      <c r="C31" s="51" t="s">
        <v>224</v>
      </c>
      <c r="D31" s="50" t="s">
        <v>224</v>
      </c>
      <c r="E31" s="13"/>
      <c r="F31" s="14"/>
      <c r="G31" s="15" t="str">
        <f t="shared" si="1"/>
        <v>Path</v>
      </c>
      <c r="H31" s="4" t="str">
        <f>IF(LEN(Table23[[#This Row],[!type]])&gt;0,IF(Table23[[#This Row],[!type]]=H$1,"1","rg:None"),"-")</f>
        <v>rg:None</v>
      </c>
      <c r="I31" s="4" t="str">
        <f>IF(LEN(Table23[[#This Row],[!type]])&gt;0,IF(Table23[[#This Row],[!type]]=I$1,"1","rg:None"),"-")</f>
        <v>rg:None</v>
      </c>
      <c r="J31" s="4" t="str">
        <f>IF(LEN(Table23[[#This Row],[!type]])&gt;0,IF(Table23[[#This Row],[!type]]=J$1,"1","rg:None"),"-")</f>
        <v>1</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contactphones</v>
      </c>
      <c r="Q31" s="4" t="str">
        <f>IF(LEN(Table23[[#This Row],[!tag]]) &gt;0,Table23[[#This Row],[!tag]],"rg:None")</f>
        <v>ContactPhone</v>
      </c>
      <c r="R31" s="4" t="str">
        <f>IF(LEN(Table23[[#This Row],[!paramDef]]) &gt;0,Table23[[#This Row],[!paramDef]],"rg:None")</f>
        <v>ContactPhone</v>
      </c>
      <c r="S31" s="4" t="str">
        <f>IF(LEN(Table23[[#This Row],[!respDef]]) &gt;0,Table23[[#This Row],[!respDef]],"rg:None")</f>
        <v>rg:None</v>
      </c>
      <c r="T31" s="4" t="str">
        <f>IF(LEN(Table23[[#This Row],[!Description]]) &gt;0,Table23[[#This Row],[!Description]],"rg:None")</f>
        <v>rg:None</v>
      </c>
    </row>
    <row r="32" spans="1:20" x14ac:dyDescent="0.3">
      <c r="A32" s="49" t="s">
        <v>85</v>
      </c>
      <c r="B32" s="49" t="s">
        <v>302</v>
      </c>
      <c r="C32" s="51" t="s">
        <v>225</v>
      </c>
      <c r="D32" s="50" t="s">
        <v>225</v>
      </c>
      <c r="E32" s="13"/>
      <c r="F32" s="14"/>
      <c r="G32" s="15" t="str">
        <f t="shared" si="1"/>
        <v>Path</v>
      </c>
      <c r="H32" s="4" t="str">
        <f>IF(LEN(Table23[[#This Row],[!type]])&gt;0,IF(Table23[[#This Row],[!type]]=H$1,"1","rg:None"),"-")</f>
        <v>1</v>
      </c>
      <c r="I32" s="4" t="str">
        <f>IF(LEN(Table23[[#This Row],[!type]])&gt;0,IF(Table23[[#This Row],[!type]]=I$1,"1","rg:None"),"-")</f>
        <v>rg:None</v>
      </c>
      <c r="J32" s="4" t="str">
        <f>IF(LEN(Table23[[#This Row],[!type]])&gt;0,IF(Table23[[#This Row],[!type]]=J$1,"1","rg:None"),"-")</f>
        <v>rg:None</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contactaddresses</v>
      </c>
      <c r="Q32" s="4" t="str">
        <f>IF(LEN(Table23[[#This Row],[!tag]]) &gt;0,Table23[[#This Row],[!tag]],"rg:None")</f>
        <v>ContactAddress</v>
      </c>
      <c r="R32" s="4" t="str">
        <f>IF(LEN(Table23[[#This Row],[!paramDef]]) &gt;0,Table23[[#This Row],[!paramDef]],"rg:None")</f>
        <v>ContactAddress</v>
      </c>
      <c r="S32" s="4" t="str">
        <f>IF(LEN(Table23[[#This Row],[!respDef]]) &gt;0,Table23[[#This Row],[!respDef]],"rg:None")</f>
        <v>rg:None</v>
      </c>
      <c r="T32" s="4" t="str">
        <f>IF(LEN(Table23[[#This Row],[!Description]]) &gt;0,Table23[[#This Row],[!Description]],"rg:None")</f>
        <v>rg:None</v>
      </c>
    </row>
    <row r="33" spans="1:20" x14ac:dyDescent="0.3">
      <c r="A33" s="49" t="s">
        <v>87</v>
      </c>
      <c r="B33" s="49" t="s">
        <v>302</v>
      </c>
      <c r="C33" s="51" t="s">
        <v>225</v>
      </c>
      <c r="D33" s="50" t="s">
        <v>225</v>
      </c>
      <c r="E33" s="13"/>
      <c r="F33" s="14"/>
      <c r="G33" s="15" t="str">
        <f t="shared" si="1"/>
        <v>Path</v>
      </c>
      <c r="H33" s="4" t="str">
        <f>IF(LEN(Table23[[#This Row],[!type]])&gt;0,IF(Table23[[#This Row],[!type]]=H$1,"1","rg:None"),"-")</f>
        <v>rg:None</v>
      </c>
      <c r="I33" s="4" t="str">
        <f>IF(LEN(Table23[[#This Row],[!type]])&gt;0,IF(Table23[[#This Row],[!type]]=I$1,"1","rg:None"),"-")</f>
        <v>rg:None</v>
      </c>
      <c r="J33" s="4" t="str">
        <f>IF(LEN(Table23[[#This Row],[!type]])&gt;0,IF(Table23[[#This Row],[!type]]=J$1,"1","rg:None"),"-")</f>
        <v>1</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contactaddresses</v>
      </c>
      <c r="Q33" s="4" t="str">
        <f>IF(LEN(Table23[[#This Row],[!tag]]) &gt;0,Table23[[#This Row],[!tag]],"rg:None")</f>
        <v>ContactAddress</v>
      </c>
      <c r="R33" s="4" t="str">
        <f>IF(LEN(Table23[[#This Row],[!paramDef]]) &gt;0,Table23[[#This Row],[!paramDef]],"rg:None")</f>
        <v>ContactAddress</v>
      </c>
      <c r="S33" s="4" t="str">
        <f>IF(LEN(Table23[[#This Row],[!respDef]]) &gt;0,Table23[[#This Row],[!respDef]],"rg:None")</f>
        <v>rg:None</v>
      </c>
      <c r="T33"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75</v>
      </c>
      <c r="B1" t="s">
        <v>78</v>
      </c>
    </row>
    <row r="2" spans="1:2" x14ac:dyDescent="0.3">
      <c r="A2" t="s">
        <v>80</v>
      </c>
      <c r="B2" t="s">
        <v>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75</v>
      </c>
      <c r="B1" t="s">
        <v>78</v>
      </c>
    </row>
    <row r="2" spans="1:2" x14ac:dyDescent="0.3">
      <c r="A2" t="s">
        <v>80</v>
      </c>
      <c r="B2" t="s">
        <v>197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2017-02-07T00:20:37Z</dcterms:modified>
</cp:coreProperties>
</file>